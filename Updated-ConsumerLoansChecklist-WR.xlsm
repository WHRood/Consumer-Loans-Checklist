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rood\Desktop\"/>
    </mc:Choice>
  </mc:AlternateContent>
  <xr:revisionPtr revIDLastSave="0" documentId="13_ncr:1_{357632CA-37D5-4B73-A50E-75CE3CAB6F73}" xr6:coauthVersionLast="45" xr6:coauthVersionMax="45" xr10:uidLastSave="{00000000-0000-0000-0000-000000000000}"/>
  <bookViews>
    <workbookView xWindow="-120" yWindow="-120" windowWidth="29040" windowHeight="15840" tabRatio="804" xr2:uid="{00000000-000D-0000-FFFF-FFFF00000000}"/>
  </bookViews>
  <sheets>
    <sheet name="Checklist Wizard" sheetId="45" r:id="rId1"/>
    <sheet name="Master Checklist" sheetId="29" r:id="rId2"/>
    <sheet name="Consumer Closing Doc Request" sheetId="39" r:id="rId3"/>
    <sheet name="Deny or Withdraw" sheetId="44" r:id="rId4"/>
    <sheet name="Rate Tables" sheetId="40" r:id="rId5"/>
    <sheet name="Short Form" sheetId="33" r:id="rId6"/>
    <sheet name="Approval Limits " sheetId="36" r:id="rId7"/>
    <sheet name="Application Flow Chart" sheetId="37" state="hidden" r:id="rId8"/>
    <sheet name="Approval Limits R.E" sheetId="38" state="hidden" r:id="rId9"/>
    <sheet name=" Policy Exceptions" sheetId="35" r:id="rId10"/>
    <sheet name="Loan Terms" sheetId="19" r:id="rId11"/>
    <sheet name="Loan LTV Limits" sheetId="20" r:id="rId12"/>
    <sheet name="Loan Department Positions" sheetId="34" r:id="rId13"/>
    <sheet name="Data - do not edit" sheetId="4" r:id="rId14"/>
    <sheet name="Mitigating Factors" sheetId="42" r:id="rId15"/>
    <sheet name="Additional Income Page" sheetId="46" state="hidden" r:id="rId16"/>
  </sheets>
  <externalReferences>
    <externalReference r:id="rId17"/>
  </externalReferences>
  <definedNames>
    <definedName name="APP_CODE">'Data - do not edit'!$AS$2:$AS$10</definedName>
    <definedName name="APPCODE" localSheetId="4">'[1]Data - do not edit'!$AS$2:$AS$9</definedName>
    <definedName name="APPCODE">'Data - do not edit'!$AS$2:$AS$11</definedName>
    <definedName name="approval">'Data - do not edit'!$AD$2:$AD$7</definedName>
    <definedName name="base" localSheetId="4">'[1]Data - do not edit'!#REF!</definedName>
    <definedName name="base">'Data - do not edit'!#REF!</definedName>
    <definedName name="bi" localSheetId="4">'[1]Data - do not edit'!$I$2</definedName>
    <definedName name="bi">'Data - do not edit'!$I$2</definedName>
    <definedName name="BK">'Data - do not edit'!$AT$2:$AT$4</definedName>
    <definedName name="Branch" localSheetId="4">'[1]Data - do not edit'!$O$2:$O$7</definedName>
    <definedName name="Branch">'Data - do not edit'!$O$2:$O$7</definedName>
    <definedName name="Call" localSheetId="4">'[1]Data - do not edit'!$Z$2:$Z$14</definedName>
    <definedName name="Call">'Data - do not edit'!$Z$2:$Z$14</definedName>
    <definedName name="Call_mortgage">'Data - do not edit'!$AM$2:$AM$7</definedName>
    <definedName name="Callmtg">'Data - do not edit'!$AM$2:$AM$7</definedName>
    <definedName name="Callother">'Data - do not edit'!$AI$2:$AI$10</definedName>
    <definedName name="Collat" localSheetId="4">'[1]Data - do not edit'!$AA$2:$AA$29</definedName>
    <definedName name="Collat">'Data - do not edit'!$AA$2:$AA$29</definedName>
    <definedName name="Collat_mortgage">'Data - do not edit'!$AN$2:$AN$9</definedName>
    <definedName name="collatmtg">'Data - do not edit'!$AN$2:$AN$9</definedName>
    <definedName name="Date">'Data - do not edit'!$R$2:$R$9</definedName>
    <definedName name="debts" localSheetId="4">'[1]Data - do not edit'!$E$2:$E$9</definedName>
    <definedName name="debts">'Data - do not edit'!$E$2:$E$9</definedName>
    <definedName name="denial" localSheetId="4">'[1]Data - do not edit'!$N$2:$N$5</definedName>
    <definedName name="denial">'Data - do not edit'!$N$2:$N$5</definedName>
    <definedName name="dep" localSheetId="4">'[1]Data - do not edit'!#REF!</definedName>
    <definedName name="dep">'Data - do not edit'!#REF!</definedName>
    <definedName name="depamt" localSheetId="4">'[1]Data - do not edit'!#REF!</definedName>
    <definedName name="depamt">'Data - do not edit'!#REF!</definedName>
    <definedName name="deposit2">'Data - do not edit'!$AH$2:$AH$7</definedName>
    <definedName name="deposits" localSheetId="4">'[1]Data - do not edit'!$C$2:$C$7</definedName>
    <definedName name="deposits">'Data - do not edit'!$C$2:$C$7</definedName>
    <definedName name="exceptionapp" localSheetId="4">'[1]Data - do not edit'!$AH$2:$AH$20</definedName>
    <definedName name="exceptionapp">'Data - do not edit'!$AH$2:$AH$20</definedName>
    <definedName name="grade">'Data - do not edit'!$AC$2:$AC$7</definedName>
    <definedName name="grades" localSheetId="4">'[1]Data - do not edit'!#REF!</definedName>
    <definedName name="grades">'Data - do not edit'!#REF!</definedName>
    <definedName name="housing" localSheetId="4">'[1]Data - do not edit'!$AL$2:$AL$5</definedName>
    <definedName name="housing">'Data - do not edit'!$AL$2:$AL$5</definedName>
    <definedName name="lnhist">'Data - do not edit'!$F$2:$F$7</definedName>
    <definedName name="lo" localSheetId="4">'[1]Data - do not edit'!$B$2:$B$8</definedName>
    <definedName name="lo">'Data - do not edit'!$B$2:$B$8</definedName>
    <definedName name="loans" localSheetId="4">'[1]Data - do not edit'!$D$2:$D$6</definedName>
    <definedName name="loans">'Data - do not edit'!$D$2:$D$6</definedName>
    <definedName name="ltv" localSheetId="10">'Loan Terms'!$A$99</definedName>
    <definedName name="ltvmtg">'Data - do not edit'!$AK$2:$AK$20</definedName>
    <definedName name="ltvx" localSheetId="4">'[1]Data - do not edit'!$AB$2:$AB$4</definedName>
    <definedName name="ltvx">'Data - do not edit'!$AB$2:$AB$4</definedName>
    <definedName name="marital">'Data - do not edit'!$AF$2:$AF$3</definedName>
    <definedName name="married">'Data - do not edit'!$M$2:$M$4</definedName>
    <definedName name="method" localSheetId="4">'[1]Data - do not edit'!$G$2:$G$5</definedName>
    <definedName name="method">'Data - do not edit'!$G$2:$G$5</definedName>
    <definedName name="Mitigating_Factors" comment="Mitigating factors for exceptions" localSheetId="1">'Master Checklist'!$X$140:$X$162</definedName>
    <definedName name="monthly" localSheetId="4">'[1]Data - do not edit'!$K$2</definedName>
    <definedName name="monthly">'Data - do not edit'!$K$2</definedName>
    <definedName name="New">'Data - do not edit'!$S$2:$S$7</definedName>
    <definedName name="Officer" localSheetId="4">'[1]Data - do not edit'!$P$2:$P$15</definedName>
    <definedName name="Officer">'Data - do not edit'!$P$2:$P$15</definedName>
    <definedName name="other_exc">'Data - do not edit'!$AS$2:$AS$11</definedName>
    <definedName name="otherx">'Data - do not edit'!$AS$2:$AS$11</definedName>
    <definedName name="othincome" localSheetId="4">'[1]Data - do not edit'!$AE$2:$AE$7</definedName>
    <definedName name="othincome">'Data - do not edit'!$AE$2:$AE$7</definedName>
    <definedName name="_xlnm.Print_Area" localSheetId="10">'Loan Terms'!$A$1:$H$74</definedName>
    <definedName name="_xlnm.Print_Area" localSheetId="1">'Master Checklist'!$A$1:$U$140</definedName>
    <definedName name="Purpose" localSheetId="4">'[1]Data - do not edit'!$W$2:$W$39</definedName>
    <definedName name="Purpose">'Data - do not edit'!$W$2:$W$39</definedName>
    <definedName name="Purposemtg">'Data - do not edit'!$AP$2:$AP$24</definedName>
    <definedName name="Purpother">'Data - do not edit'!$AJ$2:$AJ$13</definedName>
    <definedName name="rate">'Data - do not edit'!$AE$2:$AE$6</definedName>
    <definedName name="Ratex" localSheetId="4">'[1]Data - do not edit'!$Y$2:$Y$4</definedName>
    <definedName name="Ratex">'Data - do not edit'!$Y$2:$Y$4</definedName>
    <definedName name="Relation">'Data - do not edit'!$T$2:$T$5</definedName>
    <definedName name="semi" localSheetId="4">'[1]Data - do not edit'!$J$2</definedName>
    <definedName name="semi">'Data - do not edit'!$J$2</definedName>
    <definedName name="sex">'Data - do not edit'!$AG$2:$AG$3</definedName>
    <definedName name="source" localSheetId="4">'[1]Data - do not edit'!$V$2:$V$7</definedName>
    <definedName name="source">'Data - do not edit'!$V$2:$V$7</definedName>
    <definedName name="Termx" localSheetId="4">'[1]Data - do not edit'!$X$2:$X$4</definedName>
    <definedName name="Termx">'Data - do not edit'!$X$2:$X$4</definedName>
    <definedName name="Under" localSheetId="4">'[1]Data - do not edit'!$Q$2:$Q$4</definedName>
    <definedName name="Under">'Data - do not edit'!$Q$2:$Q$4</definedName>
    <definedName name="weekly" localSheetId="4">'[1]Data - do not edit'!$H$2</definedName>
    <definedName name="weekly">'Data - do not edit'!$H$2</definedName>
    <definedName name="yes" localSheetId="4">'[1]Data - do not edit'!$U$2:$U$4</definedName>
    <definedName name="yes">'Data - do not edit'!$U$2:$U$4</definedName>
    <definedName name="Zip" localSheetId="4">'[1]Data - do not edit'!$A$2:$A$7</definedName>
    <definedName name="Zip">'Data - do not edit'!$A$2:$A$7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106" i="29" l="1"/>
  <c r="T106" i="29"/>
  <c r="S106" i="29"/>
  <c r="R106" i="29"/>
  <c r="Q106" i="29"/>
  <c r="P106" i="29"/>
  <c r="O106" i="29"/>
  <c r="N106" i="29"/>
  <c r="M106" i="29"/>
  <c r="I106" i="29"/>
  <c r="H106" i="29"/>
  <c r="G106" i="29"/>
  <c r="D106" i="29"/>
  <c r="B106" i="29"/>
  <c r="J73" i="29" l="1"/>
  <c r="E64" i="29"/>
  <c r="I67" i="29"/>
  <c r="AS27" i="29" l="1"/>
  <c r="AS28" i="29" l="1"/>
  <c r="AK23" i="29"/>
  <c r="AG23" i="29"/>
  <c r="AC36" i="29"/>
  <c r="AC23" i="29"/>
  <c r="AF36" i="29"/>
  <c r="AA36" i="29"/>
  <c r="Y36" i="29"/>
  <c r="Y23" i="29"/>
  <c r="AA23" i="29"/>
  <c r="AQ30" i="29"/>
  <c r="AQ29" i="29"/>
  <c r="AQ28" i="29"/>
  <c r="AQ27" i="29"/>
  <c r="D41" i="29"/>
  <c r="T37" i="29" l="1"/>
  <c r="P37" i="29"/>
  <c r="J37" i="29"/>
  <c r="F37" i="29"/>
  <c r="A62" i="29"/>
  <c r="Q8" i="29"/>
  <c r="G17" i="29"/>
  <c r="G8" i="29"/>
  <c r="C106" i="29" s="1"/>
  <c r="K8" i="29"/>
  <c r="R64" i="29"/>
  <c r="P105" i="29"/>
  <c r="T82" i="29"/>
  <c r="G62" i="29"/>
  <c r="D105" i="29" s="1"/>
  <c r="G61" i="29"/>
  <c r="C105" i="29" s="1"/>
  <c r="A61" i="29"/>
  <c r="G58" i="29"/>
  <c r="B105" i="29" s="1"/>
  <c r="A58" i="29"/>
  <c r="G57" i="29"/>
  <c r="A105" i="29" s="1"/>
  <c r="A57" i="29"/>
  <c r="C55" i="29"/>
  <c r="R41" i="29"/>
  <c r="N41" i="29"/>
  <c r="H41" i="29"/>
  <c r="L21" i="29"/>
  <c r="T79" i="29" s="1"/>
  <c r="T80" i="29" s="1"/>
  <c r="M18" i="29"/>
  <c r="L18" i="29"/>
  <c r="U17" i="29"/>
  <c r="Q17" i="29"/>
  <c r="M17" i="29"/>
  <c r="L17" i="29"/>
  <c r="K17" i="29"/>
  <c r="M16" i="29"/>
  <c r="L16" i="29"/>
  <c r="M15" i="29"/>
  <c r="L15" i="29"/>
  <c r="M14" i="29"/>
  <c r="L14" i="29"/>
  <c r="R10" i="29"/>
  <c r="U8" i="29"/>
  <c r="R6" i="29"/>
  <c r="G12" i="33"/>
  <c r="B14" i="33"/>
  <c r="B17" i="39"/>
  <c r="B121" i="29"/>
  <c r="C121" i="29"/>
  <c r="H9" i="40"/>
  <c r="I9" i="40"/>
  <c r="J9" i="40"/>
  <c r="H10" i="40"/>
  <c r="I10" i="40"/>
  <c r="J10" i="40"/>
  <c r="H11" i="40"/>
  <c r="I11" i="40"/>
  <c r="J11" i="40"/>
  <c r="H12" i="40"/>
  <c r="I12" i="40"/>
  <c r="J12" i="40"/>
  <c r="H13" i="40"/>
  <c r="I13" i="40"/>
  <c r="J13" i="40"/>
  <c r="H14" i="40"/>
  <c r="I14" i="40"/>
  <c r="J14" i="40"/>
  <c r="H15" i="40"/>
  <c r="I15" i="40"/>
  <c r="J15" i="40"/>
  <c r="I8" i="40"/>
  <c r="J8" i="40"/>
  <c r="H8" i="40"/>
  <c r="M9" i="40"/>
  <c r="N9" i="40"/>
  <c r="O9" i="40"/>
  <c r="M10" i="40"/>
  <c r="N10" i="40"/>
  <c r="O10" i="40"/>
  <c r="M11" i="40"/>
  <c r="N11" i="40"/>
  <c r="O11" i="40"/>
  <c r="M12" i="40"/>
  <c r="N12" i="40"/>
  <c r="O12" i="40"/>
  <c r="M13" i="40"/>
  <c r="N13" i="40"/>
  <c r="O13" i="40"/>
  <c r="M14" i="40"/>
  <c r="N14" i="40"/>
  <c r="O14" i="40"/>
  <c r="M15" i="40"/>
  <c r="N15" i="40"/>
  <c r="O15" i="40"/>
  <c r="N8" i="40"/>
  <c r="O8" i="40"/>
  <c r="M8" i="40"/>
  <c r="C8" i="40"/>
  <c r="D8" i="40"/>
  <c r="E8" i="40"/>
  <c r="C9" i="40"/>
  <c r="D9" i="40"/>
  <c r="E9" i="40"/>
  <c r="C10" i="40"/>
  <c r="D10" i="40"/>
  <c r="E10" i="40"/>
  <c r="C11" i="40"/>
  <c r="D11" i="40"/>
  <c r="E11" i="40"/>
  <c r="C12" i="40"/>
  <c r="D12" i="40"/>
  <c r="E12" i="40"/>
  <c r="C13" i="40"/>
  <c r="D13" i="40"/>
  <c r="E13" i="40"/>
  <c r="C14" i="40"/>
  <c r="D14" i="40"/>
  <c r="E14" i="40"/>
  <c r="C15" i="40"/>
  <c r="D15" i="40"/>
  <c r="E15" i="40"/>
  <c r="C25" i="40"/>
  <c r="D25" i="40"/>
  <c r="E25" i="40"/>
  <c r="H25" i="40"/>
  <c r="I25" i="40"/>
  <c r="J25" i="40"/>
  <c r="C26" i="40"/>
  <c r="D26" i="40"/>
  <c r="E26" i="40"/>
  <c r="H26" i="40"/>
  <c r="I26" i="40"/>
  <c r="J26" i="40"/>
  <c r="C27" i="40"/>
  <c r="D27" i="40"/>
  <c r="E27" i="40"/>
  <c r="H27" i="40"/>
  <c r="I27" i="40"/>
  <c r="J27" i="40"/>
  <c r="C28" i="40"/>
  <c r="D28" i="40"/>
  <c r="E28" i="40"/>
  <c r="H28" i="40"/>
  <c r="I28" i="40"/>
  <c r="J28" i="40"/>
  <c r="C29" i="40"/>
  <c r="D29" i="40"/>
  <c r="E29" i="40"/>
  <c r="H29" i="40"/>
  <c r="I29" i="40"/>
  <c r="J29" i="40"/>
  <c r="C30" i="40"/>
  <c r="D30" i="40"/>
  <c r="E30" i="40"/>
  <c r="H30" i="40"/>
  <c r="I30" i="40"/>
  <c r="J30" i="40"/>
  <c r="C31" i="40"/>
  <c r="D31" i="40"/>
  <c r="E31" i="40"/>
  <c r="H31" i="40"/>
  <c r="I31" i="40"/>
  <c r="J31" i="40"/>
  <c r="C32" i="40"/>
  <c r="D32" i="40"/>
  <c r="E32" i="40"/>
  <c r="H32" i="40"/>
  <c r="I32" i="40"/>
  <c r="J32" i="40"/>
  <c r="G3" i="39"/>
  <c r="G4" i="39"/>
  <c r="D17" i="39" s="1"/>
  <c r="A39" i="39"/>
  <c r="G6" i="39"/>
  <c r="D6" i="39"/>
  <c r="D5" i="39"/>
  <c r="G39" i="39"/>
  <c r="C4" i="39"/>
  <c r="C3" i="39"/>
  <c r="C39" i="39" s="1"/>
  <c r="C29" i="4"/>
  <c r="B16" i="39"/>
  <c r="E106" i="29" l="1"/>
  <c r="L106" i="29" s="1"/>
  <c r="AR27" i="29"/>
  <c r="AR28" i="29"/>
  <c r="AR30" i="29"/>
  <c r="D121" i="29"/>
  <c r="B35" i="39"/>
  <c r="I39" i="39" s="1"/>
  <c r="H121" i="29"/>
  <c r="E121" i="29"/>
  <c r="F121" i="29"/>
  <c r="G121" i="29"/>
  <c r="AR29" i="29"/>
  <c r="I121" i="29"/>
  <c r="K106" i="29" l="1"/>
  <c r="J121" i="29"/>
  <c r="A63" i="29" s="1"/>
  <c r="B126" i="29" l="1"/>
  <c r="B130" i="29" s="1"/>
  <c r="AT28" i="29" l="1"/>
  <c r="H46" i="29" s="1"/>
  <c r="J106" i="29" s="1"/>
  <c r="AT27" i="29"/>
  <c r="D46" i="29" s="1"/>
  <c r="T81" i="29" l="1"/>
  <c r="T83" i="29" s="1"/>
  <c r="T84" i="29" s="1"/>
  <c r="T86" i="29" l="1"/>
  <c r="R86" i="29" s="1"/>
  <c r="J123" i="29" s="1"/>
  <c r="C126" i="29" s="1"/>
  <c r="C130" i="29" s="1"/>
  <c r="R69" i="29" s="1"/>
  <c r="O68" i="29" l="1"/>
  <c r="AS30" i="29"/>
  <c r="AT30" i="29"/>
  <c r="R46" i="29" s="1"/>
  <c r="AS29" i="29"/>
  <c r="AT29" i="29"/>
  <c r="N46" i="2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Carolyn Gibson</author>
  </authors>
  <commentList>
    <comment ref="E21" authorId="0" shapeId="0" xr:uid="{D5953B9F-CD55-4B52-9896-7A1378BDD6BF}">
      <text>
        <r>
          <rPr>
            <b/>
            <sz val="9"/>
            <color indexed="81"/>
            <rFont val="Tahoma"/>
            <family val="2"/>
          </rPr>
          <t>Date of score
enter as
mmddyyyy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" authorId="0" shapeId="0" xr:uid="{EA0E865D-E521-41BE-8901-FB926F4412B5}">
      <text>
        <r>
          <rPr>
            <b/>
            <sz val="9"/>
            <color indexed="81"/>
            <rFont val="Tahoma"/>
            <family val="2"/>
          </rPr>
          <t>Date of score
enter as
mmddyyyy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58" authorId="0" shapeId="0" xr:uid="{49934B45-0F50-40FD-A5B3-C0B3F4D7D053}">
      <text>
        <r>
          <rPr>
            <b/>
            <sz val="9"/>
            <color indexed="81"/>
            <rFont val="Tahoma"/>
            <family val="2"/>
          </rPr>
          <t>Enter date as
mmddyyyy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62" authorId="0" shapeId="0" xr:uid="{34C191E8-2744-4443-A657-694AAA7ADF0A}">
      <text>
        <r>
          <rPr>
            <b/>
            <sz val="9"/>
            <color indexed="81"/>
            <rFont val="Tahoma"/>
            <family val="2"/>
          </rPr>
          <t>Enter date as
mmddyyyy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4" authorId="0" shapeId="0" xr:uid="{5DC2840F-3400-4D19-8132-E1C62F00BF89}">
      <text>
        <r>
          <rPr>
            <b/>
            <sz val="9"/>
            <color indexed="81"/>
            <rFont val="Tahoma"/>
            <family val="2"/>
          </rPr>
          <t>Will autofill if amount entered into collateral value field, but can be overridden.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68" authorId="0" shapeId="0" xr:uid="{90DB3520-BF33-4D54-A287-9CC8C190C90A}">
      <text>
        <r>
          <rPr>
            <b/>
            <sz val="9"/>
            <color indexed="81"/>
            <rFont val="Tahoma"/>
            <family val="2"/>
          </rPr>
          <t>Enter # of payments
per year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68" authorId="0" shapeId="0" xr:uid="{E7870EBD-46C4-496C-9D1F-31EC1B2597E0}">
      <text>
        <r>
          <rPr>
            <b/>
            <sz val="9"/>
            <color indexed="81"/>
            <rFont val="Tahoma"/>
            <family val="2"/>
          </rPr>
          <t>Leave blank unless making an entry to override the recommended rate.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9" authorId="0" shapeId="0" xr:uid="{68F8A38B-6747-449A-A41C-820DB63E0F84}">
      <text>
        <r>
          <rPr>
            <b/>
            <sz val="9"/>
            <color indexed="81"/>
            <rFont val="Tahoma"/>
            <family val="2"/>
          </rPr>
          <t>Does loan have a term exception?  Select yes or no.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69" authorId="0" shapeId="0" xr:uid="{13A1DDEC-848D-4366-A2F4-348567CD43CE}">
      <text>
        <r>
          <rPr>
            <b/>
            <sz val="9"/>
            <color indexed="81"/>
            <rFont val="Tahoma"/>
            <family val="2"/>
          </rPr>
          <t>Does loan have a rate exception?  Select yes or no.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69" authorId="0" shapeId="0" xr:uid="{0AFD7EAC-2CE4-46A2-A461-D38A675C6F88}">
      <text>
        <r>
          <rPr>
            <b/>
            <sz val="9"/>
            <color indexed="81"/>
            <rFont val="Tahoma"/>
            <family val="2"/>
          </rPr>
          <t>Place an 'X' in the box for single pay loans, but show termed payments to determine affordability if need to be termed.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69" authorId="0" shapeId="0" xr:uid="{A71D6383-D110-4572-BCB3-C2EE5669738C}">
      <text>
        <r>
          <rPr>
            <b/>
            <sz val="9"/>
            <color indexed="81"/>
            <rFont val="Tahoma"/>
            <family val="2"/>
          </rPr>
          <t>Payment will be calculated on the recommended rate unless an entry is made in the override 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73" authorId="0" shapeId="0" xr:uid="{253ABEFB-489B-4C57-8FFC-CFEE34533B2B}">
      <text>
        <r>
          <rPr>
            <b/>
            <sz val="9"/>
            <color indexed="81"/>
            <rFont val="Tahoma"/>
            <family val="2"/>
          </rPr>
          <t>Payment will be calculated on the recommended rate unless an entry is made in the override 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6" authorId="0" shapeId="0" xr:uid="{B9FA406F-C4BD-4000-AAA7-9D82E4FF40EE}">
      <text>
        <r>
          <rPr>
            <b/>
            <sz val="9"/>
            <color indexed="81"/>
            <rFont val="Tahoma"/>
            <family val="2"/>
          </rPr>
          <t>Loan Rate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6" authorId="0" shapeId="0" xr:uid="{75DC0B7B-C993-40BA-9D2F-0132FBDCE6F3}">
      <text>
        <r>
          <rPr>
            <b/>
            <sz val="9"/>
            <color indexed="81"/>
            <rFont val="Tahoma"/>
            <family val="2"/>
          </rPr>
          <t>LOR/LOE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06" authorId="0" shapeId="0" xr:uid="{8FEAD2E0-3DE5-433B-803F-6D46127D6913}">
      <text>
        <r>
          <rPr>
            <sz val="9"/>
            <color indexed="81"/>
            <rFont val="Tahoma"/>
            <family val="2"/>
          </rPr>
          <t xml:space="preserve">Ins Waived
</t>
        </r>
      </text>
    </comment>
    <comment ref="E106" authorId="0" shapeId="0" xr:uid="{195C2B4F-D2CF-4534-A8AB-6D4225B640FA}">
      <text>
        <r>
          <rPr>
            <sz val="9"/>
            <color indexed="81"/>
            <rFont val="Tahoma"/>
            <family val="2"/>
          </rPr>
          <t>Derogatory Credit</t>
        </r>
      </text>
    </comment>
    <comment ref="F106" authorId="0" shapeId="0" xr:uid="{B1B92D5D-94A6-45F6-ACFB-675AC834B16B}">
      <text>
        <r>
          <rPr>
            <b/>
            <sz val="9"/>
            <color indexed="81"/>
            <rFont val="Tahoma"/>
            <family val="2"/>
          </rPr>
          <t>Exceeds Officer
Limits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06" authorId="0" shapeId="0" xr:uid="{3B9C3C6B-2047-4674-97C2-8A2AD7C2E9AA}">
      <text>
        <r>
          <rPr>
            <sz val="9"/>
            <color indexed="81"/>
            <rFont val="Tahoma"/>
            <family val="2"/>
          </rPr>
          <t>LTV</t>
        </r>
      </text>
    </comment>
    <comment ref="H106" authorId="0" shapeId="0" xr:uid="{93DA7362-F5A7-407B-A168-B2EE80CF5F65}">
      <text>
        <r>
          <rPr>
            <b/>
            <sz val="9"/>
            <color indexed="81"/>
            <rFont val="Tahoma"/>
            <family val="2"/>
          </rPr>
          <t>Loan Term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6" authorId="0" shapeId="0" xr:uid="{08A5CDC6-DFF7-4D74-B07A-677DD0A373B0}">
      <text>
        <r>
          <rPr>
            <b/>
            <sz val="9"/>
            <color indexed="81"/>
            <rFont val="Tahoma"/>
            <family val="2"/>
          </rPr>
          <t>Out of Area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06" authorId="0" shapeId="0" xr:uid="{A79637B6-D6F6-433C-8998-4B5B71A25645}">
      <text>
        <r>
          <rPr>
            <b/>
            <sz val="9"/>
            <color indexed="81"/>
            <rFont val="Tahoma"/>
            <family val="2"/>
          </rPr>
          <t>Debt to 
Income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06" authorId="0" shapeId="0" xr:uid="{7F02F6C1-21A1-464A-B2AB-7A99171082E1}">
      <text>
        <r>
          <rPr>
            <sz val="9"/>
            <color indexed="81"/>
            <rFont val="Tahoma"/>
            <family val="2"/>
          </rPr>
          <t xml:space="preserve">BK/JDGT
&lt; 660
</t>
        </r>
      </text>
    </comment>
    <comment ref="L106" authorId="0" shapeId="0" xr:uid="{98BE806D-FCD7-4E98-AE73-9788EDF740F2}">
      <text>
        <r>
          <rPr>
            <sz val="9"/>
            <color indexed="81"/>
            <rFont val="Tahoma"/>
            <family val="2"/>
          </rPr>
          <t xml:space="preserve">BK/JDGT
&gt;/= 660
</t>
        </r>
      </text>
    </comment>
    <comment ref="M106" authorId="0" shapeId="0" xr:uid="{0D96829A-8E07-40CA-8872-6F6ADBAEDAF2}">
      <text>
        <r>
          <rPr>
            <b/>
            <sz val="9"/>
            <color indexed="81"/>
            <rFont val="Tahoma"/>
            <family val="2"/>
          </rPr>
          <t>Interest
Capitalization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06" authorId="0" shapeId="0" xr:uid="{4D9D0A8C-A7B5-4FB5-9ABC-DF6A329B05AD}">
      <text>
        <r>
          <rPr>
            <sz val="9"/>
            <color indexed="81"/>
            <rFont val="Tahoma"/>
            <family val="2"/>
          </rPr>
          <t>Delinquent 
Rewrite</t>
        </r>
      </text>
    </comment>
    <comment ref="P106" authorId="0" shapeId="0" xr:uid="{787E9639-5151-4FDE-9431-71DF7489EEB3}">
      <text>
        <r>
          <rPr>
            <b/>
            <sz val="9"/>
            <color indexed="81"/>
            <rFont val="Tahoma"/>
            <family val="2"/>
          </rPr>
          <t>Waive 
Doc Fees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06" authorId="0" shapeId="0" xr:uid="{3F8F9B62-4457-4D3D-9E78-767B55271C31}">
      <text>
        <r>
          <rPr>
            <b/>
            <sz val="9"/>
            <color indexed="81"/>
            <rFont val="Tahoma"/>
            <family val="2"/>
          </rPr>
          <t>Low Doc
Loan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06" authorId="0" shapeId="0" xr:uid="{8449757F-111E-45C7-9B16-4D763AD42167}">
      <text>
        <r>
          <rPr>
            <b/>
            <sz val="9"/>
            <color indexed="81"/>
            <rFont val="Tahoma"/>
            <family val="2"/>
          </rPr>
          <t>Troubled Debt
Restructure</t>
        </r>
      </text>
    </comment>
    <comment ref="S106" authorId="0" shapeId="0" xr:uid="{D5BC42EB-BBFD-49E7-8E6A-B773EF4F17AE}">
      <text>
        <r>
          <rPr>
            <b/>
            <sz val="9"/>
            <color indexed="81"/>
            <rFont val="Tahoma"/>
            <family val="2"/>
          </rPr>
          <t>Cosigned 
Loan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06" authorId="0" shapeId="0" xr:uid="{6A8CD862-ACDD-4EAC-A03C-4BD1450CD4EA}">
      <text>
        <r>
          <rPr>
            <b/>
            <sz val="9"/>
            <color indexed="81"/>
            <rFont val="Tahoma"/>
            <family val="2"/>
          </rPr>
          <t>Loan for the 
benefit of 
another party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06" authorId="0" shapeId="0" xr:uid="{40362CF4-9898-4AA4-A403-3AC1F64CD79C}">
      <text>
        <r>
          <rPr>
            <b/>
            <sz val="9"/>
            <color indexed="81"/>
            <rFont val="Tahoma"/>
            <family val="2"/>
          </rPr>
          <t>Conflict of 
Interest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<sst xmlns="http://schemas.openxmlformats.org/spreadsheetml/2006/main" count="1574" uniqueCount="949">
  <si>
    <t>Borrower Details</t>
  </si>
  <si>
    <t>rev 06/14/2017</t>
  </si>
  <si>
    <t>Borrower 1</t>
  </si>
  <si>
    <t>Borrower 2</t>
  </si>
  <si>
    <t>Cosignor 1</t>
  </si>
  <si>
    <t>Cosignor 2</t>
  </si>
  <si>
    <t>Name</t>
  </si>
  <si>
    <t>Address (Street &amp; Po)</t>
  </si>
  <si>
    <t>Zip</t>
  </si>
  <si>
    <t>City</t>
  </si>
  <si>
    <t>Identification</t>
  </si>
  <si>
    <t>Length of Res.</t>
  </si>
  <si>
    <t>Own / Rent</t>
  </si>
  <si>
    <t>Phone</t>
  </si>
  <si>
    <t>Work Phone</t>
  </si>
  <si>
    <t>Cell</t>
  </si>
  <si>
    <t>Email</t>
  </si>
  <si>
    <t>SSN</t>
  </si>
  <si>
    <t>DOB</t>
  </si>
  <si>
    <t>Employer</t>
  </si>
  <si>
    <t>Length of Emp.</t>
  </si>
  <si>
    <t>Deposits</t>
  </si>
  <si>
    <t>Loans</t>
  </si>
  <si>
    <t>Avg Score</t>
  </si>
  <si>
    <t xml:space="preserve">Cust YR./ Bk </t>
  </si>
  <si>
    <t>Credit Score</t>
  </si>
  <si>
    <t xml:space="preserve">RBP Notice </t>
  </si>
  <si>
    <t>Borrower 1 - Pymts</t>
  </si>
  <si>
    <t>Borrower 2 - Pymts</t>
  </si>
  <si>
    <t>Both high-lighted boxes above need answered - even when no cosignor on loan.</t>
  </si>
  <si>
    <t>Cosignor 1 - Pymts</t>
  </si>
  <si>
    <t>Cosignor 2 - Pymts</t>
  </si>
  <si>
    <t>Debts</t>
  </si>
  <si>
    <t>Type</t>
  </si>
  <si>
    <t>$$</t>
  </si>
  <si>
    <t>Payments</t>
  </si>
  <si>
    <t>Total</t>
  </si>
  <si>
    <t>Income</t>
  </si>
  <si>
    <t>Hrly Rate</t>
  </si>
  <si>
    <t>Avg hrs/pay</t>
  </si>
  <si>
    <t>Other Source</t>
  </si>
  <si>
    <t>Gross Monthly</t>
  </si>
  <si>
    <t>Debt Ratio with new payment</t>
  </si>
  <si>
    <t>TDR CONSIDERATIONS - IF RENEWAL OR EXTENSION</t>
  </si>
  <si>
    <t>BOTH HAVE TO BE YES FOR LOAN TO BE A TROUBLED DEBT RESTRUCTURE</t>
  </si>
  <si>
    <t>YES</t>
  </si>
  <si>
    <t>NO</t>
  </si>
  <si>
    <t>Concessions granted for new loan (i.e., interest rate, term, capitalized interest, other)</t>
  </si>
  <si>
    <t>Customer(s) in financial difficulty.</t>
  </si>
  <si>
    <t>PAYMENT SOURCE</t>
  </si>
  <si>
    <t>COUPON BK</t>
  </si>
  <si>
    <t>AFT→</t>
  </si>
  <si>
    <t>Loan #</t>
  </si>
  <si>
    <t>Date of Loan (mmddyyyy)</t>
  </si>
  <si>
    <t>Branch/Officer</t>
  </si>
  <si>
    <t>Co-Signors</t>
  </si>
  <si>
    <t>Underwriter</t>
  </si>
  <si>
    <t>Grade</t>
  </si>
  <si>
    <t>Ap Date (mmddyyyy)</t>
  </si>
  <si>
    <t xml:space="preserve">Approving Authority </t>
  </si>
  <si>
    <t>LSI Ins Fee</t>
  </si>
  <si>
    <t>Total Loan Amount</t>
  </si>
  <si>
    <t>Loan Details</t>
  </si>
  <si>
    <t>Loan w/out fee</t>
  </si>
  <si>
    <t>FEES</t>
  </si>
  <si>
    <t>Loan Term            # mos/ # per yr.</t>
  </si>
  <si>
    <t>Loan Rate</t>
  </si>
  <si>
    <t>Override Loan rate</t>
  </si>
  <si>
    <t>PURPOSE</t>
  </si>
  <si>
    <t>New Payment Amount</t>
  </si>
  <si>
    <t>Collateral Details</t>
  </si>
  <si>
    <t>COLLATERAL DESCRIPTION</t>
  </si>
  <si>
    <t>Value</t>
  </si>
  <si>
    <t>Source</t>
  </si>
  <si>
    <t>Purchase</t>
  </si>
  <si>
    <t>LTV</t>
  </si>
  <si>
    <t>Collateral Code</t>
  </si>
  <si>
    <t>LTV EXCEPTION</t>
  </si>
  <si>
    <t>Is Insurance being waived?</t>
  </si>
  <si>
    <t>Consumer Grading</t>
  </si>
  <si>
    <t>Credit</t>
  </si>
  <si>
    <t>&lt;600</t>
  </si>
  <si>
    <t>600-630</t>
  </si>
  <si>
    <t>631-660</t>
  </si>
  <si>
    <t>661-700</t>
  </si>
  <si>
    <t>701-750</t>
  </si>
  <si>
    <t>751+</t>
  </si>
  <si>
    <t>Character</t>
  </si>
  <si>
    <t>Capacity</t>
  </si>
  <si>
    <t>&gt;42%</t>
  </si>
  <si>
    <t>40.1-42%</t>
  </si>
  <si>
    <t>38.1-40%</t>
  </si>
  <si>
    <t>35.1-38%</t>
  </si>
  <si>
    <t>32.1-35%</t>
  </si>
  <si>
    <t>&lt;32%</t>
  </si>
  <si>
    <t>Collateral</t>
  </si>
  <si>
    <t>uns.</t>
  </si>
  <si>
    <t>&gt;100%</t>
  </si>
  <si>
    <t>90.1-100%</t>
  </si>
  <si>
    <t>70.1-90%</t>
  </si>
  <si>
    <t>50.1-70%</t>
  </si>
  <si>
    <r>
      <t>&lt;</t>
    </r>
    <r>
      <rPr>
        <sz val="10"/>
        <rFont val="Lucida Fax"/>
        <family val="1"/>
      </rPr>
      <t>50%</t>
    </r>
  </si>
  <si>
    <t>Underwriter Comments Section For Risk Grading:</t>
  </si>
  <si>
    <t>%</t>
  </si>
  <si>
    <t>FILE GRADE</t>
  </si>
  <si>
    <t>RISK ADJ -1 GRADE MAX</t>
  </si>
  <si>
    <t>RISK GRADE</t>
  </si>
  <si>
    <t>Mark an X in all boxes that apply - otherwise leave blank.</t>
  </si>
  <si>
    <t>TROUBLED DEBT RESTRUCTURE</t>
  </si>
  <si>
    <t>WAIVING LOAN FEES</t>
  </si>
  <si>
    <t>OUT OF AREA LOAN</t>
  </si>
  <si>
    <t>LOW DOC LOAN</t>
  </si>
  <si>
    <t>CAPITALIZATION OF INTEREST</t>
  </si>
  <si>
    <t>DELINQUENT REWRITE (OUTSIDE OF POLICY)</t>
  </si>
  <si>
    <t>CONFLICT OF INTEREST</t>
  </si>
  <si>
    <t>LOAN FOR BENEFIT OF ANOTHER PARTY</t>
  </si>
  <si>
    <t>COMMUNITY SMALL LOAN</t>
  </si>
  <si>
    <t>Loan Officer Comments and Recommmendation (REQUIRED)</t>
  </si>
  <si>
    <t>HMDA</t>
  </si>
  <si>
    <t>Yes</t>
  </si>
  <si>
    <t xml:space="preserve">No </t>
  </si>
  <si>
    <t>MSA</t>
  </si>
  <si>
    <t xml:space="preserve">Census </t>
  </si>
  <si>
    <t>St Code</t>
  </si>
  <si>
    <t>Co Code</t>
  </si>
  <si>
    <t>Rate Rounded</t>
  </si>
  <si>
    <t>Lookup Column</t>
  </si>
  <si>
    <t>Table1</t>
  </si>
  <si>
    <t>Table2</t>
  </si>
  <si>
    <t>Table3</t>
  </si>
  <si>
    <t>Table4</t>
  </si>
  <si>
    <t>Table5</t>
  </si>
  <si>
    <t>Credit Score Rate</t>
  </si>
  <si>
    <t>Risk Grade Rate</t>
  </si>
  <si>
    <t>credit score</t>
  </si>
  <si>
    <t>risk grade</t>
  </si>
  <si>
    <t>credit score payment</t>
  </si>
  <si>
    <t>risk grade payment</t>
  </si>
  <si>
    <t>**Please list mitigating factors from the drop down in the yellow boxes when applicable.</t>
  </si>
  <si>
    <t xml:space="preserve">Click here for a list:  </t>
  </si>
  <si>
    <t>MITIGATING FACTORS</t>
  </si>
  <si>
    <t>2a</t>
  </si>
  <si>
    <t>Negotiated by Loan Officer</t>
  </si>
  <si>
    <t>2b</t>
  </si>
  <si>
    <t xml:space="preserve">Rate changed after quoted to borrower </t>
  </si>
  <si>
    <t>2x</t>
  </si>
  <si>
    <t xml:space="preserve"> Other (Further explanation required)</t>
  </si>
  <si>
    <t>3a</t>
  </si>
  <si>
    <t>Working in Same Field/Line of Work</t>
  </si>
  <si>
    <t>3b</t>
  </si>
  <si>
    <t>Took new job for Higher Pay</t>
  </si>
  <si>
    <t>3c</t>
  </si>
  <si>
    <t>Recent residence due to better living arrangements</t>
  </si>
  <si>
    <t>3d</t>
  </si>
  <si>
    <t>Built new home</t>
  </si>
  <si>
    <t>3x</t>
  </si>
  <si>
    <t>Other (Further explanation required)</t>
  </si>
  <si>
    <t>5a</t>
  </si>
  <si>
    <t>Good Repayment History</t>
  </si>
  <si>
    <t>5b</t>
  </si>
  <si>
    <t>No credit score available</t>
  </si>
  <si>
    <t>5c</t>
  </si>
  <si>
    <t>No history of late pays</t>
  </si>
  <si>
    <t>5d</t>
  </si>
  <si>
    <t>Minimal trades to establish credit history</t>
  </si>
  <si>
    <t>5x</t>
  </si>
  <si>
    <t xml:space="preserve">7a  </t>
  </si>
  <si>
    <t>all other credit factors acceptable</t>
  </si>
  <si>
    <t>7b</t>
  </si>
  <si>
    <t>new purchase w/ taxes, ins, or fee's added</t>
  </si>
  <si>
    <t xml:space="preserve">7x  </t>
  </si>
  <si>
    <t xml:space="preserve">8a </t>
  </si>
  <si>
    <t xml:space="preserve"> 8 all other credit factors acceptable</t>
  </si>
  <si>
    <t xml:space="preserve">8x </t>
  </si>
  <si>
    <t>8 Other (Further explanation required)</t>
  </si>
  <si>
    <t>9a</t>
  </si>
  <si>
    <t xml:space="preserve">  Murphy Indirect</t>
  </si>
  <si>
    <t>9x</t>
  </si>
  <si>
    <t>10a</t>
  </si>
  <si>
    <t xml:space="preserve">  Good Repayment History</t>
  </si>
  <si>
    <t xml:space="preserve">10b  </t>
  </si>
  <si>
    <t xml:space="preserve">Discretionary income is sufficient for living expenses </t>
  </si>
  <si>
    <t xml:space="preserve">10x </t>
  </si>
  <si>
    <r>
      <t>**COMPLETE SECTIONS A &amp; B -</t>
    </r>
    <r>
      <rPr>
        <b/>
        <i/>
        <sz val="11"/>
        <color indexed="8"/>
        <rFont val="Calibri"/>
        <family val="2"/>
      </rPr>
      <t>Place in DROP BOX FOR APPLICATION DOCS file to order closing docs</t>
    </r>
  </si>
  <si>
    <t xml:space="preserve">A </t>
  </si>
  <si>
    <t>LOAN INFORMATION</t>
  </si>
  <si>
    <t>Borrower(s)</t>
  </si>
  <si>
    <t>Loan Officer:</t>
  </si>
  <si>
    <t>Branch#</t>
  </si>
  <si>
    <t>Closing Date:</t>
  </si>
  <si>
    <t>Loan Principal :</t>
  </si>
  <si>
    <t>Rate:</t>
  </si>
  <si>
    <t>Closing Time:</t>
  </si>
  <si>
    <t>Underwritten by:</t>
  </si>
  <si>
    <t>Code:</t>
  </si>
  <si>
    <t>Print to Branch #:</t>
  </si>
  <si>
    <t>Collateral:</t>
  </si>
  <si>
    <t>VIN/Serial #</t>
  </si>
  <si>
    <t>Insurance Co:</t>
  </si>
  <si>
    <t xml:space="preserve"> Agent:</t>
  </si>
  <si>
    <t>Address:</t>
  </si>
  <si>
    <t>Phone:</t>
  </si>
  <si>
    <t xml:space="preserve">B </t>
  </si>
  <si>
    <t>DISBURSEMENT INFORMATION &amp; TICKETS TO RUN</t>
  </si>
  <si>
    <t>CREDITS:</t>
  </si>
  <si>
    <t>Cashier Check payee or account#</t>
  </si>
  <si>
    <t>Remitter/comments</t>
  </si>
  <si>
    <t>$</t>
  </si>
  <si>
    <t>To:</t>
  </si>
  <si>
    <t>LSI Fee (For secured loans only)</t>
  </si>
  <si>
    <t>Other fee income, consumer</t>
  </si>
  <si>
    <t>DEBIT:</t>
  </si>
  <si>
    <t>From:</t>
  </si>
  <si>
    <t>7-1560</t>
  </si>
  <si>
    <t>Loan Clearing</t>
  </si>
  <si>
    <t xml:space="preserve">C </t>
  </si>
  <si>
    <r>
      <t xml:space="preserve">**LOAN FUNDING REQUEST - </t>
    </r>
    <r>
      <rPr>
        <b/>
        <i/>
        <sz val="11"/>
        <color indexed="8"/>
        <rFont val="Calibri"/>
        <family val="2"/>
      </rPr>
      <t>Verify information below &amp; place in Dropbox for Closed Loans</t>
    </r>
  </si>
  <si>
    <t>LOAN #</t>
  </si>
  <si>
    <t>PRIMARY BORROWER</t>
  </si>
  <si>
    <t>FUNDING DATE</t>
  </si>
  <si>
    <t>$ ADVANCE</t>
  </si>
  <si>
    <t>PAYMENT TYPE</t>
  </si>
  <si>
    <t>AFT</t>
  </si>
  <si>
    <t xml:space="preserve"> </t>
  </si>
  <si>
    <t>ACH</t>
  </si>
  <si>
    <t>Coupon</t>
  </si>
  <si>
    <t>Billing Notice</t>
  </si>
  <si>
    <t>CLOSING PACKAGE CHECKLIST:</t>
  </si>
  <si>
    <t>Required Item/Action</t>
  </si>
  <si>
    <t>Included/Completed</t>
  </si>
  <si>
    <t>COMPLETED CIP CHECKLIST - Required for all new loans except renewals using the same number with no new signers.</t>
  </si>
  <si>
    <t>COPY OF CUSTOMER ID - if current one not on Aurora</t>
  </si>
  <si>
    <t>ALL DOCUMENTS SIGNED BY CUSTOMER &amp; LOAN OFFICER</t>
  </si>
  <si>
    <t>SCAN ALL SIGNED LOAN DOCUMENTS to consumer drop box for closed loans</t>
  </si>
  <si>
    <t>Reasons for Credit Denial</t>
  </si>
  <si>
    <t>Click the boxes to select the reasons for denial. Choose at least 2 but no more than 3.</t>
  </si>
  <si>
    <t>Credit Application Incomplete</t>
  </si>
  <si>
    <t>Delinquent Past or Present Credit Obligations with Others</t>
  </si>
  <si>
    <t>Insufficient Number of Credit References Provided</t>
  </si>
  <si>
    <t xml:space="preserve">Collection Action or Judgment </t>
  </si>
  <si>
    <t>Unacceptable Type of Credit References Provided</t>
  </si>
  <si>
    <t>Garnishment or Attachment</t>
  </si>
  <si>
    <t>Unable to Verify Credit References</t>
  </si>
  <si>
    <t>Foreclosure or Repossession</t>
  </si>
  <si>
    <t>Temporary or Irregular Employment</t>
  </si>
  <si>
    <t>Bankruptcy</t>
  </si>
  <si>
    <t>Unable to Verify Employment</t>
  </si>
  <si>
    <t>Number of Recent Inquiries on Credit Bureau Report</t>
  </si>
  <si>
    <t>Length of Employment</t>
  </si>
  <si>
    <t>Value or Type of Collateral not Sufficient</t>
  </si>
  <si>
    <t>Income Insufficient for Amount of Credit Requested</t>
  </si>
  <si>
    <t>(DTI too high with new payment)</t>
  </si>
  <si>
    <t>Other - Please describe below:</t>
  </si>
  <si>
    <t>Excessive Obligation in Relation to Income</t>
  </si>
  <si>
    <t>Using Other needs to be approved by Nikki.</t>
  </si>
  <si>
    <t>(DTI too high without new payment)</t>
  </si>
  <si>
    <t>Unable to Verify Income</t>
  </si>
  <si>
    <t>Length of Residence</t>
  </si>
  <si>
    <t>Temporary Residence</t>
  </si>
  <si>
    <t>Unable to Verify Residence</t>
  </si>
  <si>
    <t>No Credit File</t>
  </si>
  <si>
    <t>Limited Credit Experience</t>
  </si>
  <si>
    <t>Poor Credit Performance with Us</t>
  </si>
  <si>
    <t>Reason for Withdrawn Application</t>
  </si>
  <si>
    <t>Please describe below:</t>
  </si>
  <si>
    <t xml:space="preserve"> Consumer Loan Rates</t>
  </si>
  <si>
    <t>Constant</t>
  </si>
  <si>
    <t>Lower of</t>
  </si>
  <si>
    <t>.25 Discount with</t>
  </si>
  <si>
    <t>750+</t>
  </si>
  <si>
    <t>700 - 749</t>
  </si>
  <si>
    <t>661 - 699</t>
  </si>
  <si>
    <t>Direct Checking &amp;</t>
  </si>
  <si>
    <t>Or Risk Grade</t>
  </si>
  <si>
    <t>AFT Payment</t>
  </si>
  <si>
    <t>Term</t>
  </si>
  <si>
    <t>0 - 36</t>
  </si>
  <si>
    <t>37 - 59</t>
  </si>
  <si>
    <t>60 - 84</t>
  </si>
  <si>
    <t>Max Loan Amount</t>
  </si>
  <si>
    <t>Above $50M</t>
  </si>
  <si>
    <t>contact CLO</t>
  </si>
  <si>
    <t>631 - 660</t>
  </si>
  <si>
    <t>630 &amp; Less</t>
  </si>
  <si>
    <t>60-84</t>
  </si>
  <si>
    <t>HOOSIER HEARTLAND STATE BANK</t>
  </si>
  <si>
    <t>LOAN SUMMARY CHECKLIST</t>
  </si>
  <si>
    <t>SHORT FORM</t>
  </si>
  <si>
    <t>LOAN#</t>
  </si>
  <si>
    <t>LOAN OFFICER</t>
  </si>
  <si>
    <t>DATE &amp; TIME OF CLOSING:</t>
  </si>
  <si>
    <t>BORROWER(S):</t>
  </si>
  <si>
    <t>LOAN AMOUNT:</t>
  </si>
  <si>
    <t>FEE:</t>
  </si>
  <si>
    <t>TOTAL LOAN AMT:</t>
  </si>
  <si>
    <t>PURPOSE:</t>
  </si>
  <si>
    <t xml:space="preserve">LOAN GRADE: </t>
  </si>
  <si>
    <t>CD#</t>
  </si>
  <si>
    <t>CD VALUE</t>
  </si>
  <si>
    <t>CD RATE</t>
  </si>
  <si>
    <t>CD MATURITY</t>
  </si>
  <si>
    <t>LOAN RATE</t>
  </si>
  <si>
    <t>EXCEPTIONS:</t>
  </si>
  <si>
    <t>LOAN TERM</t>
  </si>
  <si>
    <t xml:space="preserve">SINGLE PAY: </t>
  </si>
  <si>
    <t>APPROVAL</t>
  </si>
  <si>
    <t>OR</t>
  </si>
  <si>
    <t xml:space="preserve">MONTHLY PAYMENTS: </t>
  </si>
  <si>
    <t xml:space="preserve">OTHER - EXPLAIN: </t>
  </si>
  <si>
    <t>COMMENTS:</t>
  </si>
  <si>
    <t xml:space="preserve">BRANCH DOCS PRINTED TO: </t>
  </si>
  <si>
    <t xml:space="preserve">BRANCH LOAN BOOKED TO: </t>
  </si>
  <si>
    <t xml:space="preserve">DISBURSEMENT INFORMATION: </t>
  </si>
  <si>
    <t>FEE = CR TO _6340 (BRANCH SPECIFIC)</t>
  </si>
  <si>
    <t>TO:</t>
  </si>
  <si>
    <t>Loan Approval Limits</t>
  </si>
  <si>
    <t>Last updated  12/18/2018</t>
  </si>
  <si>
    <t>CONSUMER</t>
  </si>
  <si>
    <t>COMMERCIAL COMMERCIAL RE &amp; NON RE AG</t>
  </si>
  <si>
    <t>FARM REAL ESTATE NOT TO EXCEED 80% LTV</t>
  </si>
  <si>
    <t>TOTAL TSL LIMIT</t>
  </si>
  <si>
    <t>LEVEL I LOAN OFFICERS</t>
  </si>
  <si>
    <t>Secured</t>
  </si>
  <si>
    <t>1 Thru 4</t>
  </si>
  <si>
    <t xml:space="preserve">     Unsecured &amp; CC</t>
  </si>
  <si>
    <r>
      <t xml:space="preserve">Sandy W, Lisa E, </t>
    </r>
    <r>
      <rPr>
        <sz val="10"/>
        <color rgb="FFFF0000"/>
        <rFont val="Arial"/>
        <family val="2"/>
      </rPr>
      <t>Sheri T</t>
    </r>
  </si>
  <si>
    <t>LEVEL II LOAN OFFICERS</t>
  </si>
  <si>
    <r>
      <t xml:space="preserve">Adam N, Kathryn G, Lisa G, Caryn H, </t>
    </r>
    <r>
      <rPr>
        <sz val="10"/>
        <color rgb="FFFF0000"/>
        <rFont val="Arial"/>
        <family val="2"/>
      </rPr>
      <t>Jordan B</t>
    </r>
  </si>
  <si>
    <t>LEVEL III LOAN OFFICERS</t>
  </si>
  <si>
    <t xml:space="preserve">Secured </t>
  </si>
  <si>
    <t>Unsecured &amp; CC</t>
  </si>
  <si>
    <t>Trent S, Bill W, Zach H, Brad M, Trey E</t>
  </si>
  <si>
    <t xml:space="preserve">LEVEL I UNDERWRITERS Consumer Only </t>
  </si>
  <si>
    <t xml:space="preserve">     Secured</t>
  </si>
  <si>
    <t>Jennifer M, April S.</t>
  </si>
  <si>
    <t>LEVEL II UNDERWRITERS</t>
  </si>
  <si>
    <t xml:space="preserve">Nikki K (All), Carolyn G (Consumer Only)               </t>
  </si>
  <si>
    <t>LEVEL III UNDERWRITERS</t>
  </si>
  <si>
    <t xml:space="preserve">     Grade 5 any Type</t>
  </si>
  <si>
    <t>Grade 5</t>
  </si>
  <si>
    <t>Tammy H (All)</t>
  </si>
  <si>
    <t>Loan Officers Committee</t>
  </si>
  <si>
    <t>1 Thru 6</t>
  </si>
  <si>
    <t xml:space="preserve">Brad M, Trey E, Trent S, Bill W, Tammy H                                    </t>
  </si>
  <si>
    <t>Loan Committee</t>
  </si>
  <si>
    <t>LEGAL LIMIT</t>
  </si>
  <si>
    <t>Outside Directors</t>
  </si>
  <si>
    <t>*Review all ag cash flow statements for new requests over $500,000 </t>
  </si>
  <si>
    <t>** All Tie Votes will go to outside directors</t>
  </si>
  <si>
    <t>Loan Application Flow Chart</t>
  </si>
  <si>
    <t>Last updated 3/11/16</t>
  </si>
  <si>
    <t>Loan Approval Limits Consumer Real Estate</t>
  </si>
  <si>
    <t>Last Updated 12/18/18</t>
  </si>
  <si>
    <t>FHLB MPP PROGRAM</t>
  </si>
  <si>
    <t>FHLB Guideline Limits</t>
  </si>
  <si>
    <t>Carolyn G.</t>
  </si>
  <si>
    <t>Jennifer M/Tammy H</t>
  </si>
  <si>
    <t>IN HOUSE RESIDENTIAL REAL ESTATE</t>
  </si>
  <si>
    <t>TYPE</t>
  </si>
  <si>
    <t>AMOUNT</t>
  </si>
  <si>
    <t>1-4 Family</t>
  </si>
  <si>
    <t>Manufactured</t>
  </si>
  <si>
    <t>Bare Ground</t>
  </si>
  <si>
    <t>HELOC &amp; 2nd Mtg &gt;90%</t>
  </si>
  <si>
    <t>HELOC &amp; 2nd Mtg&lt;/=90%</t>
  </si>
  <si>
    <t>All Types</t>
  </si>
  <si>
    <t>All Risk Grades</t>
  </si>
  <si>
    <t>Legal Lending Limit</t>
  </si>
  <si>
    <t xml:space="preserve">Brad M, Trey E,  Trent S,      Bill W, Tammy H                                   </t>
  </si>
  <si>
    <t>POLICY EXCEPTIONS</t>
  </si>
  <si>
    <t>Last Updated 12-18-18</t>
  </si>
  <si>
    <t>EXCEPTION</t>
  </si>
  <si>
    <t>LEVEL I LOAN OFFICER LEVEL II LOAN OFFICER</t>
  </si>
  <si>
    <t>LEVEL III LOAN OFFICER</t>
  </si>
  <si>
    <t>LEVEL I UNDERWRITER LEVEL II UNDERWRITER</t>
  </si>
  <si>
    <t>LEVEL III UNDERWRITER</t>
  </si>
  <si>
    <t>LOAN OFFICERS COMMITTEE</t>
  </si>
  <si>
    <t>Board of Directors</t>
  </si>
  <si>
    <t>CFO</t>
  </si>
  <si>
    <t>No Current F/S or APP</t>
  </si>
  <si>
    <t>No</t>
  </si>
  <si>
    <t>Yes to all</t>
  </si>
  <si>
    <t>Yes to All</t>
  </si>
  <si>
    <t>Loan Rate outside existing parameters</t>
  </si>
  <si>
    <t xml:space="preserve">    If $100M or &gt;</t>
  </si>
  <si>
    <t>Time on Job/Residence               &lt; 1 Yr.</t>
  </si>
  <si>
    <t>Waive Insurance on Collateral, Loan Balance   &lt;/= $10,000</t>
  </si>
  <si>
    <t>Waive Insurance on Collateral, Loan Balance       &gt; $10,000</t>
  </si>
  <si>
    <t>Beacon score &lt; 660</t>
  </si>
  <si>
    <t>Exc Max LTV - Consumer</t>
  </si>
  <si>
    <t>Exc Max LTV - Non RE         Ag &amp; Comm</t>
  </si>
  <si>
    <t>Exc Max LTV - RE w/o PMI</t>
  </si>
  <si>
    <t>Loan Term outside Policy Parameters</t>
  </si>
  <si>
    <t xml:space="preserve">Out of Lending Area </t>
  </si>
  <si>
    <t xml:space="preserve">Out of Lending Area Consumer Only &amp; MTS Indirect </t>
  </si>
  <si>
    <t>D/I ratio exceeds 38%</t>
  </si>
  <si>
    <t>Capacity &lt; 1:1</t>
  </si>
  <si>
    <r>
      <t xml:space="preserve">Beacon &lt;660 and: </t>
    </r>
    <r>
      <rPr>
        <sz val="10"/>
        <rFont val="Arial"/>
        <family val="2"/>
      </rPr>
      <t>BK less than 5 yrs. or Judgment/Foreclosure, Repo/Charge Off &lt; 2 yrs.</t>
    </r>
  </si>
  <si>
    <r>
      <t xml:space="preserve">Beacon </t>
    </r>
    <r>
      <rPr>
        <b/>
        <sz val="10"/>
        <rFont val="Calibri"/>
        <family val="2"/>
      </rPr>
      <t>≥</t>
    </r>
    <r>
      <rPr>
        <b/>
        <sz val="10"/>
        <rFont val="Arial"/>
        <family val="2"/>
      </rPr>
      <t xml:space="preserve"> 660 and: BK less than 5 yrs. or </t>
    </r>
    <r>
      <rPr>
        <sz val="10"/>
        <rFont val="Arial"/>
        <family val="2"/>
      </rPr>
      <t>Judgment /Foreclosure, Repo/Charge Off &lt; 2 yrs.</t>
    </r>
  </si>
  <si>
    <t>Interest Capitalization</t>
  </si>
  <si>
    <t>Conflict of Interest</t>
  </si>
  <si>
    <t>Delinquent re-write outside of policy</t>
  </si>
  <si>
    <t>Waive Doc fees</t>
  </si>
  <si>
    <t>Stated Income/Low Doc Beacon 700 + Beacon 700 +, &lt; $25M</t>
  </si>
  <si>
    <t>Stated Income Beacon &lt;700+, &lt;$25M</t>
  </si>
  <si>
    <t>Co-Signed Loan</t>
  </si>
  <si>
    <t>Loan for Benefit of non borrower</t>
  </si>
  <si>
    <t>Loan w/SBA Guarantee</t>
  </si>
  <si>
    <t>New Business Start ups&gt;$250,000</t>
  </si>
  <si>
    <t xml:space="preserve"> Yes&lt; 250k</t>
  </si>
  <si>
    <t>Yes&lt;250K</t>
  </si>
  <si>
    <t>Community Small Loan &lt;/= $10,000 w/ credit score &lt;660</t>
  </si>
  <si>
    <t>CONSUMER 2009</t>
  </si>
  <si>
    <t>Stand Term</t>
  </si>
  <si>
    <t>MAX TERM</t>
  </si>
  <si>
    <t>Unsecured Debt Consolidation</t>
  </si>
  <si>
    <t>60 Mos.</t>
  </si>
  <si>
    <t>Unsecured Home Improvement</t>
  </si>
  <si>
    <t>Personal Single Pay</t>
  </si>
  <si>
    <t>w/repay doc</t>
  </si>
  <si>
    <t>6 Mos.</t>
  </si>
  <si>
    <t>wo/repay doc</t>
  </si>
  <si>
    <t>90 Days</t>
  </si>
  <si>
    <t>Vacation Loan</t>
  </si>
  <si>
    <t>1 Yr.</t>
  </si>
  <si>
    <t>Christmas Loan</t>
  </si>
  <si>
    <t>Recreational Vehicle: Used or</t>
  </si>
  <si>
    <t>&lt; $50M</t>
  </si>
  <si>
    <t>Recreational Vehicle: New or</t>
  </si>
  <si>
    <t>&gt; $50M</t>
  </si>
  <si>
    <t>180 Mos.</t>
  </si>
  <si>
    <t>4 Wheeler:  New</t>
  </si>
  <si>
    <t>4 Wheeler:  Used</t>
  </si>
  <si>
    <t>48 Mos.</t>
  </si>
  <si>
    <t>Lawn Mower</t>
  </si>
  <si>
    <t>Boats/Trailers: Used or</t>
  </si>
  <si>
    <t>Boats/Trailers: New or</t>
  </si>
  <si>
    <t>Tax Refund Loans</t>
  </si>
  <si>
    <t>w/tax return</t>
  </si>
  <si>
    <t>Loan to Pay Taxes</t>
  </si>
  <si>
    <t>Auto &amp; Motorcycle</t>
  </si>
  <si>
    <t>Purchase or Refi</t>
  </si>
  <si>
    <t>Max Term:</t>
  </si>
  <si>
    <t xml:space="preserve">   Current Yr.&lt;15M Miles</t>
  </si>
  <si>
    <t>New</t>
  </si>
  <si>
    <t>72 Mos.</t>
  </si>
  <si>
    <t>84 Mos.</t>
  </si>
  <si>
    <t xml:space="preserve">   Within 5 Model Yrs.</t>
  </si>
  <si>
    <t>Newer Used</t>
  </si>
  <si>
    <t xml:space="preserve">   &gt;5 Model Yrs</t>
  </si>
  <si>
    <t>Older Used</t>
  </si>
  <si>
    <t xml:space="preserve">AG/COMMERCIAL </t>
  </si>
  <si>
    <t>Trailers:</t>
  </si>
  <si>
    <t xml:space="preserve">     Used:</t>
  </si>
  <si>
    <t xml:space="preserve">     New:</t>
  </si>
  <si>
    <t>To $24,999</t>
  </si>
  <si>
    <t>84 Mos</t>
  </si>
  <si>
    <t>$25M - $74,999</t>
  </si>
  <si>
    <t>120 Mos.</t>
  </si>
  <si>
    <t>$75M +</t>
  </si>
  <si>
    <t>180 Mos</t>
  </si>
  <si>
    <t>School Bus Loans</t>
  </si>
  <si>
    <t>Used</t>
  </si>
  <si>
    <t xml:space="preserve">    Subject to contract</t>
  </si>
  <si>
    <t>Machinery &amp; Equipment</t>
  </si>
  <si>
    <t>120 Mos</t>
  </si>
  <si>
    <t>Crops:  Loss Carryover</t>
  </si>
  <si>
    <t>within cash</t>
  </si>
  <si>
    <t>up to 84 Mos.</t>
  </si>
  <si>
    <t>flow</t>
  </si>
  <si>
    <t>Crops:</t>
  </si>
  <si>
    <t>within</t>
  </si>
  <si>
    <t>1 Yr. up to</t>
  </si>
  <si>
    <t>marketing plan</t>
  </si>
  <si>
    <t>15 Mos. Max.</t>
  </si>
  <si>
    <t>&amp; cash flow</t>
  </si>
  <si>
    <t>Livestock:</t>
  </si>
  <si>
    <t xml:space="preserve">     Feeder Pigs</t>
  </si>
  <si>
    <t xml:space="preserve">     Feeder Cattle</t>
  </si>
  <si>
    <t>15 Mos.</t>
  </si>
  <si>
    <t xml:space="preserve">     Feeder Lambs</t>
  </si>
  <si>
    <t xml:space="preserve">     Brood Cows</t>
  </si>
  <si>
    <t>w/annual Pmts</t>
  </si>
  <si>
    <t>3 Yrs.</t>
  </si>
  <si>
    <t xml:space="preserve">     Ewes</t>
  </si>
  <si>
    <t xml:space="preserve">     Gilts &amp; Sows</t>
  </si>
  <si>
    <t xml:space="preserve">     Bulls</t>
  </si>
  <si>
    <t xml:space="preserve">     Rams</t>
  </si>
  <si>
    <t xml:space="preserve">     Horses</t>
  </si>
  <si>
    <t>Real Estate:</t>
  </si>
  <si>
    <t xml:space="preserve">     Farm Ground</t>
  </si>
  <si>
    <t>30 Yrs.</t>
  </si>
  <si>
    <t xml:space="preserve">     Raw Land/Building Lot</t>
  </si>
  <si>
    <t>5 Yrs.</t>
  </si>
  <si>
    <t xml:space="preserve">     Commercial Bldg.</t>
  </si>
  <si>
    <t>15 Yrs Target</t>
  </si>
  <si>
    <t>20 Yrs. Max</t>
  </si>
  <si>
    <t xml:space="preserve">     Income Property - Rental</t>
  </si>
  <si>
    <t>In House</t>
  </si>
  <si>
    <t>20 Yrs.</t>
  </si>
  <si>
    <t>Inventory &amp; Accounts Rec.</t>
  </si>
  <si>
    <t>Based on</t>
  </si>
  <si>
    <t>LOC's</t>
  </si>
  <si>
    <t>cash Flow &amp;</t>
  </si>
  <si>
    <t>business cycle</t>
  </si>
  <si>
    <t xml:space="preserve">CONSUMER </t>
  </si>
  <si>
    <t>All LTV's lesser of Book or Pur. Pr.</t>
  </si>
  <si>
    <t>Recreational Vehicle:  Used</t>
  </si>
  <si>
    <t>Recreational Vehicle:  New</t>
  </si>
  <si>
    <t>Boats/Trailers:  Used</t>
  </si>
  <si>
    <t>Boats/Trailers:  New</t>
  </si>
  <si>
    <t>Auto &amp; Motorcycle:</t>
  </si>
  <si>
    <t xml:space="preserve">     New:  Current Yr.&lt;15M Miles</t>
  </si>
  <si>
    <t>(For indirect, see dealer spec sheet)</t>
  </si>
  <si>
    <t>AG/COMMERCIAL 2009</t>
  </si>
  <si>
    <t>All LTV's lesser of Book or PP</t>
  </si>
  <si>
    <t xml:space="preserve">     New:   </t>
  </si>
  <si>
    <t>School Bus</t>
  </si>
  <si>
    <t>Crop Inputs:</t>
  </si>
  <si>
    <t>Based on expected</t>
  </si>
  <si>
    <t>cash flow</t>
  </si>
  <si>
    <t>Livestock:  All Types</t>
  </si>
  <si>
    <t>Inventory &amp; Accounts Receivable</t>
  </si>
  <si>
    <t xml:space="preserve">      Farm Ground</t>
  </si>
  <si>
    <t xml:space="preserve">      Raw Land/Building Lots</t>
  </si>
  <si>
    <t xml:space="preserve">      Commercial Land/Bldg</t>
  </si>
  <si>
    <t xml:space="preserve">      Income Property - Rental</t>
  </si>
  <si>
    <t>RESIDENTIAL REAL ESTATE</t>
  </si>
  <si>
    <t>FHLB - Refer to FHLB Guidelines</t>
  </si>
  <si>
    <t>In House:</t>
  </si>
  <si>
    <t xml:space="preserve">    1-4 Family w/o PMI</t>
  </si>
  <si>
    <t xml:space="preserve">    Raw Land</t>
  </si>
  <si>
    <t xml:space="preserve">    Land Development</t>
  </si>
  <si>
    <t xml:space="preserve">    1-4 Family Construction</t>
  </si>
  <si>
    <t xml:space="preserve">    Multi Family</t>
  </si>
  <si>
    <t xml:space="preserve">    HELOC &amp; 2nd Mtg&lt;/=$50M</t>
  </si>
  <si>
    <t xml:space="preserve">    HELOC &amp; 2nd Mtg&gt;$50M</t>
  </si>
  <si>
    <t>REGULATORY LTV LIMITS</t>
  </si>
  <si>
    <t>Raw Land</t>
  </si>
  <si>
    <t>Land Development</t>
  </si>
  <si>
    <t>Construction:</t>
  </si>
  <si>
    <t xml:space="preserve">    Commercial, Multifamily and</t>
  </si>
  <si>
    <t xml:space="preserve">    other non-residential</t>
  </si>
  <si>
    <t>1-4 Family Residential</t>
  </si>
  <si>
    <t>Improved Property</t>
  </si>
  <si>
    <t>Owner occupied 1-4 Family</t>
  </si>
  <si>
    <t xml:space="preserve">    and Home Equity</t>
  </si>
  <si>
    <t>&lt;90%*</t>
  </si>
  <si>
    <t>* Loans can equal or exceed 90%</t>
  </si>
  <si>
    <t>loan to value with credit enhancement</t>
  </si>
  <si>
    <t>LOAN DEPARTMENT</t>
  </si>
  <si>
    <t>NAME</t>
  </si>
  <si>
    <t>updated 12/18/18</t>
  </si>
  <si>
    <t>BOARD LOAN COMMITTEE</t>
  </si>
  <si>
    <t>Trent Smaltz - Chair</t>
  </si>
  <si>
    <t xml:space="preserve">Brian Buck </t>
  </si>
  <si>
    <t>Bob Devault</t>
  </si>
  <si>
    <t>Brad Monts</t>
  </si>
  <si>
    <t>Dave Rhoads</t>
  </si>
  <si>
    <t>EXECUTIVE COMMITTEE</t>
  </si>
  <si>
    <t>Trey Etcheson</t>
  </si>
  <si>
    <t>Trent Smaltz</t>
  </si>
  <si>
    <t>Bill Wagner</t>
  </si>
  <si>
    <t>Tammy Harshbarger</t>
  </si>
  <si>
    <t>OPERATIONS MANAGER</t>
  </si>
  <si>
    <t>Nikki Keller</t>
  </si>
  <si>
    <t>CHIEF LENDING OFFICER</t>
  </si>
  <si>
    <t>UNDERWRITERS</t>
  </si>
  <si>
    <t>LEVEL I:</t>
  </si>
  <si>
    <t xml:space="preserve">   CONSUMER</t>
  </si>
  <si>
    <t>Jennifer Meadows, April Smekens</t>
  </si>
  <si>
    <t xml:space="preserve">   Ag/Commercial</t>
  </si>
  <si>
    <t>LEVEL II:</t>
  </si>
  <si>
    <t xml:space="preserve">   AG/COMMERCIAL</t>
  </si>
  <si>
    <t>Jennifer Meadows</t>
  </si>
  <si>
    <t>LEVEL III:</t>
  </si>
  <si>
    <t>RE LOAN PROCESSOR</t>
  </si>
  <si>
    <t>Kim Snowden</t>
  </si>
  <si>
    <t>ASSISTANT AG/COMMERCIAL U/W</t>
  </si>
  <si>
    <t>April Smekens</t>
  </si>
  <si>
    <t>LOAN FILE CLERKS</t>
  </si>
  <si>
    <t>Tammy Demaree</t>
  </si>
  <si>
    <t>LOAN SCANNING CLERK</t>
  </si>
  <si>
    <t>Jennifer Gilbert</t>
  </si>
  <si>
    <t>LOAN OFFICERS:</t>
  </si>
  <si>
    <t xml:space="preserve">   OUTSIDE CALLING OFFICERS:</t>
  </si>
  <si>
    <t>Jeff Williams</t>
  </si>
  <si>
    <t>Jordan Burkett</t>
  </si>
  <si>
    <t xml:space="preserve">   BRANCH LOAN OFFICERS</t>
  </si>
  <si>
    <t xml:space="preserve">          New Ross</t>
  </si>
  <si>
    <t>Lisa Graham, Br. Mgr.</t>
  </si>
  <si>
    <t xml:space="preserve">          Ladoga &amp; Roachdale</t>
  </si>
  <si>
    <t>Sandy Webb, Br. Mgr</t>
  </si>
  <si>
    <t xml:space="preserve">          Crawfordsville South</t>
  </si>
  <si>
    <t>Adam Nagele, RE Spec</t>
  </si>
  <si>
    <t>Caryn Heisel, Acct Executive</t>
  </si>
  <si>
    <t>Sheri Thompson, Br Mgr</t>
  </si>
  <si>
    <t xml:space="preserve">          Linden</t>
  </si>
  <si>
    <t xml:space="preserve">          Crawfordsville East</t>
  </si>
  <si>
    <t>Kathryn Gilliland, RE Spec</t>
  </si>
  <si>
    <t>Lisa Elmore, Br Mgr</t>
  </si>
  <si>
    <t>COLLECTIONS</t>
  </si>
  <si>
    <t xml:space="preserve">   Senior Collection Officer</t>
  </si>
  <si>
    <t xml:space="preserve">   Default Servicing Mgr</t>
  </si>
  <si>
    <t xml:space="preserve">   0 - 30 Collections</t>
  </si>
  <si>
    <t>lo</t>
  </si>
  <si>
    <t>deposits</t>
  </si>
  <si>
    <t>loans</t>
  </si>
  <si>
    <t>debts</t>
  </si>
  <si>
    <t>lnhist</t>
  </si>
  <si>
    <t>method</t>
  </si>
  <si>
    <t>weekly</t>
  </si>
  <si>
    <t>bi</t>
  </si>
  <si>
    <t>semi</t>
  </si>
  <si>
    <t>monthly</t>
  </si>
  <si>
    <t>sex</t>
  </si>
  <si>
    <t>married</t>
  </si>
  <si>
    <t>recommendation</t>
  </si>
  <si>
    <t>Branch</t>
  </si>
  <si>
    <t>Officer</t>
  </si>
  <si>
    <t>Under</t>
  </si>
  <si>
    <t>Date</t>
  </si>
  <si>
    <t>Relation</t>
  </si>
  <si>
    <t>yes</t>
  </si>
  <si>
    <t>source</t>
  </si>
  <si>
    <t>Purpose</t>
  </si>
  <si>
    <t>Termx</t>
  </si>
  <si>
    <t>Ratex</t>
  </si>
  <si>
    <t>Call</t>
  </si>
  <si>
    <t>Collat</t>
  </si>
  <si>
    <t>ltvx</t>
  </si>
  <si>
    <t>grade</t>
  </si>
  <si>
    <t>approval</t>
  </si>
  <si>
    <t>othincome</t>
  </si>
  <si>
    <t>marital</t>
  </si>
  <si>
    <t>exceptionapp</t>
  </si>
  <si>
    <t>Callother</t>
  </si>
  <si>
    <t>Purpother</t>
  </si>
  <si>
    <t>ltvmtg</t>
  </si>
  <si>
    <t>housing</t>
  </si>
  <si>
    <t>Callmtg</t>
  </si>
  <si>
    <t>collatmtg</t>
  </si>
  <si>
    <t>Purposemtg</t>
  </si>
  <si>
    <t>APPCODE</t>
  </si>
  <si>
    <t>1 - 3 m</t>
  </si>
  <si>
    <t>checking</t>
  </si>
  <si>
    <t>personal</t>
  </si>
  <si>
    <t>House</t>
  </si>
  <si>
    <t>A+</t>
  </si>
  <si>
    <t>M</t>
  </si>
  <si>
    <t>m</t>
  </si>
  <si>
    <t>1 - New Ross</t>
  </si>
  <si>
    <t>1-Trey</t>
  </si>
  <si>
    <t>Tammy</t>
  </si>
  <si>
    <t>Individual</t>
  </si>
  <si>
    <t>kbb</t>
  </si>
  <si>
    <t>50 bill consolidation- personal</t>
  </si>
  <si>
    <t>6C=Automobile</t>
  </si>
  <si>
    <t>100 Unsecured</t>
  </si>
  <si>
    <t>Exception 7 - ltv</t>
  </si>
  <si>
    <t>1 - 90% +</t>
  </si>
  <si>
    <t>SSI</t>
  </si>
  <si>
    <t>Rate(2) - L4</t>
  </si>
  <si>
    <t xml:space="preserve">1A=RE-Construction and Land Develop </t>
  </si>
  <si>
    <t>40 purchase bareground for development</t>
  </si>
  <si>
    <t>own</t>
  </si>
  <si>
    <t>400- mobile/manufactured home</t>
  </si>
  <si>
    <t>3 - 12 m</t>
  </si>
  <si>
    <t>savings</t>
  </si>
  <si>
    <t>business</t>
  </si>
  <si>
    <t>2mtg</t>
  </si>
  <si>
    <t>1x30</t>
  </si>
  <si>
    <t>every oth wk</t>
  </si>
  <si>
    <t>F</t>
  </si>
  <si>
    <t>d</t>
  </si>
  <si>
    <t>DENIAL</t>
  </si>
  <si>
    <t>2 - Ladoga</t>
  </si>
  <si>
    <t>2-Brad</t>
  </si>
  <si>
    <t>Carolyn</t>
  </si>
  <si>
    <t>Renewal</t>
  </si>
  <si>
    <t>Joint</t>
  </si>
  <si>
    <t>no</t>
  </si>
  <si>
    <t>nada</t>
  </si>
  <si>
    <t>51 loan restructure - personal</t>
  </si>
  <si>
    <t>6D-Other consumer</t>
  </si>
  <si>
    <t>550- New vehicle</t>
  </si>
  <si>
    <t>2 - 70 - 89.9%</t>
  </si>
  <si>
    <t>OT</t>
  </si>
  <si>
    <t>U</t>
  </si>
  <si>
    <t>LOE/LOR(#) - L4</t>
  </si>
  <si>
    <t xml:space="preserve">1B=RE-Farmland (Including Farm Resid, Other Impvmts) </t>
  </si>
  <si>
    <t>41 purchase 1-4 family residential</t>
  </si>
  <si>
    <t>rent</t>
  </si>
  <si>
    <t>401 1-4 family residential</t>
  </si>
  <si>
    <t>93 NIKKI</t>
  </si>
  <si>
    <t>13 - 24 m</t>
  </si>
  <si>
    <t>ckg &amp; sav</t>
  </si>
  <si>
    <t>mortgage</t>
  </si>
  <si>
    <t>auto</t>
  </si>
  <si>
    <t>2x30</t>
  </si>
  <si>
    <t>twice mo</t>
  </si>
  <si>
    <t>u</t>
  </si>
  <si>
    <t>APPROVED w/contingencies</t>
  </si>
  <si>
    <t>3 - Rdale</t>
  </si>
  <si>
    <t>7-Lisa G</t>
  </si>
  <si>
    <t>Nikki</t>
  </si>
  <si>
    <t>Reduced Renewal</t>
  </si>
  <si>
    <t>Co-signed</t>
  </si>
  <si>
    <t>n/a</t>
  </si>
  <si>
    <t>purch.price</t>
  </si>
  <si>
    <t>52 purchase vehicle</t>
  </si>
  <si>
    <t>See TERM tab for loan terms</t>
  </si>
  <si>
    <t>See pricing tabs for rate exceptions</t>
  </si>
  <si>
    <t>6A=Credit Cards</t>
  </si>
  <si>
    <t>551 - Used vehicle (1-5 YRS OLD)</t>
  </si>
  <si>
    <t>See LTV tab for LTV limits</t>
  </si>
  <si>
    <t>3 - 60 - 74.9%</t>
  </si>
  <si>
    <t>Exec Comm</t>
  </si>
  <si>
    <t>Bonus</t>
  </si>
  <si>
    <t>Waive Ins(4) - L(up to $10k) &gt;10k-U</t>
  </si>
  <si>
    <t>1C1=RE-Revolving 1to4 Family Residential Propty</t>
  </si>
  <si>
    <t>43 purchase farm real estate</t>
  </si>
  <si>
    <t>pur/res - 97 97 80</t>
  </si>
  <si>
    <t>w/parents</t>
  </si>
  <si>
    <t>402 multi-family residential</t>
  </si>
  <si>
    <t>2.1 to 5 yrs</t>
  </si>
  <si>
    <t>mutiple</t>
  </si>
  <si>
    <t>multiple</t>
  </si>
  <si>
    <t>pers</t>
  </si>
  <si>
    <t>mult 30's</t>
  </si>
  <si>
    <t>SEE OFFICER COMMENTS BELOW</t>
  </si>
  <si>
    <t>4 - CvilleS</t>
  </si>
  <si>
    <t>14-Trent</t>
  </si>
  <si>
    <t>Increased Renewal</t>
  </si>
  <si>
    <t>Commercial</t>
  </si>
  <si>
    <t>appraisal</t>
  </si>
  <si>
    <t>53 refi vehicle</t>
  </si>
  <si>
    <t>555 - Used vehicle (&gt; 5 YRS OLD)</t>
  </si>
  <si>
    <t>4 - 50 - 59.9%</t>
  </si>
  <si>
    <t>L.O. Comm</t>
  </si>
  <si>
    <t>Comm.</t>
  </si>
  <si>
    <t>Beacon(5) - U</t>
  </si>
  <si>
    <t>1C2A=1ST lien 1 to 4 Family Residential Propty</t>
  </si>
  <si>
    <t xml:space="preserve">44 purchase comm real estate </t>
  </si>
  <si>
    <t>pur/man 90 90 80</t>
  </si>
  <si>
    <t>other - explain</t>
  </si>
  <si>
    <t>403 farm r/e</t>
  </si>
  <si>
    <t>96 TAMMY</t>
  </si>
  <si>
    <t>5.1 to 10 yrs</t>
  </si>
  <si>
    <t>no deposits</t>
  </si>
  <si>
    <t>no loans</t>
  </si>
  <si>
    <t>cc</t>
  </si>
  <si>
    <t>1x60</t>
  </si>
  <si>
    <t>5 - Linden</t>
  </si>
  <si>
    <t>16-Sandy</t>
  </si>
  <si>
    <t>Extension</t>
  </si>
  <si>
    <t>BPO/Evaluation</t>
  </si>
  <si>
    <t>55 recreational vehicle</t>
  </si>
  <si>
    <t xml:space="preserve">1A1=RE-Construction and Land Develop </t>
  </si>
  <si>
    <t>600 lawn mower</t>
  </si>
  <si>
    <t>5 - 40 - 49.9%</t>
  </si>
  <si>
    <t>Loan  Comm.</t>
  </si>
  <si>
    <t>2nd job</t>
  </si>
  <si>
    <t>Off Limits (6) - none</t>
  </si>
  <si>
    <t>1C3=JR. lien 1 to 4 Family Residential Propty</t>
  </si>
  <si>
    <t>45 rate/term refi 1-4 family</t>
  </si>
  <si>
    <t>pur/inv  80 80 80</t>
  </si>
  <si>
    <t>1C2B=JR. lien 1 to 4 Family Residential Propty</t>
  </si>
  <si>
    <t>404 business real estate</t>
  </si>
  <si>
    <t>92 L.O. Committee</t>
  </si>
  <si>
    <t>10.1 to 20 yrs</t>
  </si>
  <si>
    <t>child supp</t>
  </si>
  <si>
    <t>mult delq</t>
  </si>
  <si>
    <t>6 - CvilleE</t>
  </si>
  <si>
    <t>25-Zach</t>
  </si>
  <si>
    <t>Delinquent Rewrite</t>
  </si>
  <si>
    <t>other</t>
  </si>
  <si>
    <t>56 vacation/christmas loan</t>
  </si>
  <si>
    <t>610 - Recreational Merchandise</t>
  </si>
  <si>
    <t>6 - 30 - 39.9%</t>
  </si>
  <si>
    <t>Board</t>
  </si>
  <si>
    <t>Retire</t>
  </si>
  <si>
    <t>LTV(7) - L3</t>
  </si>
  <si>
    <t xml:space="preserve">1D=RE-5 or More Family Resid Propty </t>
  </si>
  <si>
    <t>46 2nd mtg/ closed end</t>
  </si>
  <si>
    <t>pur/gro  90 80 80</t>
  </si>
  <si>
    <t xml:space="preserve">1E=RE-NonFarm, NonResidential Propty </t>
  </si>
  <si>
    <t>405 bareground</t>
  </si>
  <si>
    <t>98 Exec Committee</t>
  </si>
  <si>
    <t>over 20 yrs</t>
  </si>
  <si>
    <t>stud ln</t>
  </si>
  <si>
    <t>28-Bill</t>
  </si>
  <si>
    <t>57 tax refund</t>
  </si>
  <si>
    <t>650 airplane or other aerial collateral</t>
  </si>
  <si>
    <t>Term(8) - L4,U2</t>
  </si>
  <si>
    <t>47 refi farm real estate</t>
  </si>
  <si>
    <t>rt/res 97 95 80</t>
  </si>
  <si>
    <t>406 mobile home</t>
  </si>
  <si>
    <t>99 Loan Committee</t>
  </si>
  <si>
    <t>58 loan to pay taxes</t>
  </si>
  <si>
    <t>699 other personal collateral</t>
  </si>
  <si>
    <t>Out of Area(9) - LOC</t>
  </si>
  <si>
    <t xml:space="preserve">2=Loans to Depository Institutions </t>
  </si>
  <si>
    <t>48 refi commercial real estate</t>
  </si>
  <si>
    <t>rt/man 90 90 80</t>
  </si>
  <si>
    <t>408 rental - residential</t>
  </si>
  <si>
    <t>100 Board</t>
  </si>
  <si>
    <t>30-Kathryn</t>
  </si>
  <si>
    <t>59 - other personal purpose</t>
  </si>
  <si>
    <t>203 farm machinery/equipment</t>
  </si>
  <si>
    <r>
      <t xml:space="preserve">BK/JDGT </t>
    </r>
    <r>
      <rPr>
        <u/>
        <sz val="10"/>
        <rFont val="Arial"/>
        <family val="2"/>
      </rPr>
      <t>&lt;661</t>
    </r>
    <r>
      <rPr>
        <sz val="10"/>
        <rFont val="Arial"/>
        <family val="2"/>
      </rPr>
      <t>661(11) -  BKw/in 5 yrs-U w/J/F/R/CO 2yrs - LC</t>
    </r>
  </si>
  <si>
    <t xml:space="preserve">4=Commercial and Industrial Loans </t>
  </si>
  <si>
    <t>70 construction residence</t>
  </si>
  <si>
    <t>rt/gro 90 80 80</t>
  </si>
  <si>
    <t>32-Adam</t>
  </si>
  <si>
    <t>60 purchase lawn mower</t>
  </si>
  <si>
    <t>204 - horse trailer</t>
  </si>
  <si>
    <t>BK/JDGT &gt;661(12) - Ifw/in 2yrs - LC otherwise - U</t>
  </si>
  <si>
    <t>71 construction final residence</t>
  </si>
  <si>
    <t>co/res 95 95 80</t>
  </si>
  <si>
    <t>33-Lisa E</t>
  </si>
  <si>
    <t>62 boat/trailer</t>
  </si>
  <si>
    <t>222 Farm mixed collateral</t>
  </si>
  <si>
    <t>Int Cap(13) - Board</t>
  </si>
  <si>
    <t>72 - heloc</t>
  </si>
  <si>
    <t>co/man 75 75 70</t>
  </si>
  <si>
    <t>34-Jennifer</t>
  </si>
  <si>
    <t xml:space="preserve">63 pur/refi motorcycle </t>
  </si>
  <si>
    <t xml:space="preserve">3=Ag Loans </t>
  </si>
  <si>
    <t>299 farm other collateral</t>
  </si>
  <si>
    <t>Conflict of Int(14) - Board</t>
  </si>
  <si>
    <t xml:space="preserve">73 - cash out refiI </t>
  </si>
  <si>
    <t>co/inv 80 80 70</t>
  </si>
  <si>
    <t>35-Caryn</t>
  </si>
  <si>
    <t xml:space="preserve">20 ag carryover     </t>
  </si>
  <si>
    <t>301 cd assignment</t>
  </si>
  <si>
    <t>Delinq re-write(15) - LOC</t>
  </si>
  <si>
    <t>co/gro 80 80 70</t>
  </si>
  <si>
    <t>21 crop inputs</t>
  </si>
  <si>
    <t>302 commercial inventory</t>
  </si>
  <si>
    <t>Waive fees (20)-L2</t>
  </si>
  <si>
    <t>heloc 100 90 80</t>
  </si>
  <si>
    <t>38-Jordan</t>
  </si>
  <si>
    <t>22 livestock</t>
  </si>
  <si>
    <t xml:space="preserve">5=Acceptances of other Banks </t>
  </si>
  <si>
    <t>303 commercial vehicle</t>
  </si>
  <si>
    <t>Low Doc - L2</t>
  </si>
  <si>
    <t xml:space="preserve">2nd 100 90 80 </t>
  </si>
  <si>
    <t>39-Sheri</t>
  </si>
  <si>
    <t xml:space="preserve">23 pur/refi farm equipment </t>
  </si>
  <si>
    <t>304 comerical equipment</t>
  </si>
  <si>
    <t>Stated Income &gt;700 - L2</t>
  </si>
  <si>
    <t>reg ltv's</t>
  </si>
  <si>
    <t xml:space="preserve">24 pur/refi farm vehicle </t>
  </si>
  <si>
    <t>6B=Individ-other revolving credit plans</t>
  </si>
  <si>
    <t>305 commercial mixed collateral</t>
  </si>
  <si>
    <t>Stated Income &gt;700 - Board</t>
  </si>
  <si>
    <t>land devel - 75</t>
  </si>
  <si>
    <t xml:space="preserve">25 cash rent </t>
  </si>
  <si>
    <t xml:space="preserve">7=Oblgtns of States -Nonrated Ind.Dev.Oglig. </t>
  </si>
  <si>
    <t>310 accts receivable</t>
  </si>
  <si>
    <t>Co-signed - L2</t>
  </si>
  <si>
    <t>1-4  90 (owner occ)</t>
  </si>
  <si>
    <t>29 mixed farm purpose</t>
  </si>
  <si>
    <t xml:space="preserve">7B=Oblgtns of States, US Pol.Sub-Other (Except Securities) </t>
  </si>
  <si>
    <t>399 comm other collateral</t>
  </si>
  <si>
    <t>Loan for benefit of non-borrower - L2</t>
  </si>
  <si>
    <t>1-4  85 (nonowner)</t>
  </si>
  <si>
    <t xml:space="preserve">30 comm operating </t>
  </si>
  <si>
    <t xml:space="preserve">8=All Other Loans </t>
  </si>
  <si>
    <t xml:space="preserve">32 purchase comm inventory </t>
  </si>
  <si>
    <t xml:space="preserve">9=Lease Financing Receivables (Net of Unearned Income) </t>
  </si>
  <si>
    <t>59 other personal purpose</t>
  </si>
  <si>
    <t xml:space="preserve">33 pur/refi comm vehicle </t>
  </si>
  <si>
    <t>34 pur/refi comm equipment</t>
  </si>
  <si>
    <t>36 pur/refi residential rental (non-owner occ)</t>
  </si>
  <si>
    <t xml:space="preserve">39 other comm purpose </t>
  </si>
  <si>
    <t>499 real estate other</t>
  </si>
  <si>
    <t>49 other real estate purpose</t>
  </si>
  <si>
    <t>Mitigating Factor's for Approval:</t>
  </si>
  <si>
    <t>Exception #2 - Rate</t>
  </si>
  <si>
    <t>2a - Negotiated by Loan Officer</t>
  </si>
  <si>
    <t>2b - Rate changed after quoted to borrower</t>
  </si>
  <si>
    <t>2x - Other (Further explanation required).</t>
  </si>
  <si>
    <t>Exception #3 - Time on job or residence</t>
  </si>
  <si>
    <t>3a - Working in same field/line of work</t>
  </si>
  <si>
    <t>3b - Took new job for Higher Pay</t>
  </si>
  <si>
    <t>3c - Recent residence due to better living arrangements</t>
  </si>
  <si>
    <t>3d - Built new home</t>
  </si>
  <si>
    <t>3x - Other (Further explanation required).</t>
  </si>
  <si>
    <t>Exception #5 - Derrog credit/Beacon &lt;660</t>
  </si>
  <si>
    <t>5a - Good repayment history</t>
  </si>
  <si>
    <t>5b - No credit score available</t>
  </si>
  <si>
    <t>5c - No history of late pays</t>
  </si>
  <si>
    <t>5d - Minimal trades to establish credit</t>
  </si>
  <si>
    <t>5x - Other (Further explanation required).</t>
  </si>
  <si>
    <t>Exception #7 - Loan to value</t>
  </si>
  <si>
    <t>7a - All other credit factors acceptable</t>
  </si>
  <si>
    <t>7b - Acceptable ltv prior to discount (commercial only)</t>
  </si>
  <si>
    <t>7x - Other (Further explanation required).</t>
  </si>
  <si>
    <t>Note:  It is not an ltv exception if over 100% with Fee &amp; LSI added</t>
  </si>
  <si>
    <t>Exception #8 - Loan terms</t>
  </si>
  <si>
    <t>8a - All other credit factors acceptable</t>
  </si>
  <si>
    <t>8x - Other (Further explanation required).</t>
  </si>
  <si>
    <t>Exception #9 - Out of area</t>
  </si>
  <si>
    <t>9a - Murphy Indirect</t>
  </si>
  <si>
    <t>9x - Other (Further explanation required).</t>
  </si>
  <si>
    <t>Exception #10 - DTI exceeds 38%/Repayment &lt; 1:1</t>
  </si>
  <si>
    <t>10a - Good repayment history</t>
  </si>
  <si>
    <t>10b - Discretionary income sufficient for living expenses</t>
  </si>
  <si>
    <t>10x - Other (Further explanation required).</t>
  </si>
  <si>
    <t>All Other Exceptions Tracked as:</t>
  </si>
  <si>
    <t>Example: 4, 11, 12, 13, etc (Further explanation required).</t>
  </si>
  <si>
    <t>80-Murphy</t>
  </si>
  <si>
    <t>April</t>
  </si>
  <si>
    <t>Janelle</t>
  </si>
  <si>
    <t>Jennifer</t>
  </si>
  <si>
    <t>95 APRIL</t>
  </si>
  <si>
    <t>91 JENNIFER M.</t>
  </si>
  <si>
    <t>CREDIT BUILDER</t>
  </si>
  <si>
    <t>VETERANS PROGRAM</t>
  </si>
  <si>
    <t>40 - Cody</t>
  </si>
  <si>
    <t>JANELLE</t>
  </si>
  <si>
    <t>Grade 4 &amp; 5 Liquidation Value</t>
  </si>
  <si>
    <t/>
  </si>
  <si>
    <t>Additional Income Page</t>
  </si>
  <si>
    <t>Cosigner 1</t>
  </si>
  <si>
    <t>Cosigner 2</t>
  </si>
  <si>
    <t>Amount</t>
  </si>
  <si>
    <t>Breakdown</t>
  </si>
  <si>
    <t>Rate</t>
  </si>
  <si>
    <t>Debt</t>
  </si>
  <si>
    <t>Incomes</t>
  </si>
  <si>
    <t>Average Hours</t>
  </si>
  <si>
    <t>Ratio ( %)</t>
  </si>
  <si>
    <t>0</t>
  </si>
  <si>
    <t>B106</t>
  </si>
  <si>
    <t>C106</t>
  </si>
  <si>
    <t>E106</t>
  </si>
  <si>
    <t>G106</t>
  </si>
  <si>
    <t>H106</t>
  </si>
  <si>
    <t>I106</t>
  </si>
  <si>
    <t>J106</t>
  </si>
  <si>
    <t xml:space="preserve">Exceptions </t>
  </si>
  <si>
    <t>LOR/LOE</t>
  </si>
  <si>
    <t>Derog Credit</t>
  </si>
  <si>
    <t>Loan Term</t>
  </si>
  <si>
    <t>Out of Area</t>
  </si>
  <si>
    <t>Debt to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</si>
</sst>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;@"/>
    <numFmt numFmtId="165" formatCode="0.000%"/>
    <numFmt numFmtId="166" formatCode="[&lt;=9999999]###\-####;\(###\)\ ###\-####"/>
    <numFmt numFmtId="167" formatCode="000\-00\-0000"/>
    <numFmt numFmtId="168" formatCode="&quot;$&quot;#,##0"/>
    <numFmt numFmtId="169" formatCode="&quot;$&quot;#,##0.00"/>
    <numFmt numFmtId="170" formatCode="00\/00\/0000"/>
  </numFmts>
  <fonts count="9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Lucida Fax"/>
      <family val="1"/>
    </font>
    <font>
      <sz val="10"/>
      <name val="Lucida Fax"/>
      <family val="1"/>
    </font>
    <font>
      <sz val="8"/>
      <name val="Lucida Fax"/>
      <family val="1"/>
    </font>
    <font>
      <i/>
      <sz val="10"/>
      <name val="Lucida Fax"/>
      <family val="1"/>
    </font>
    <font>
      <i/>
      <sz val="9"/>
      <name val="Lucida Fax"/>
      <family val="1"/>
    </font>
    <font>
      <sz val="8"/>
      <name val="Arial"/>
      <family val="2"/>
    </font>
    <font>
      <u/>
      <sz val="10"/>
      <color indexed="12"/>
      <name val="Arial"/>
      <family val="2"/>
    </font>
    <font>
      <sz val="6"/>
      <name val="Arial"/>
      <family val="2"/>
    </font>
    <font>
      <sz val="7"/>
      <name val="Arial"/>
      <family val="2"/>
    </font>
    <font>
      <sz val="9"/>
      <name val="Arial"/>
      <family val="2"/>
    </font>
    <font>
      <strike/>
      <sz val="6"/>
      <name val="Arial"/>
      <family val="2"/>
    </font>
    <font>
      <sz val="9"/>
      <name val="Lucida Fax"/>
      <family val="1"/>
    </font>
    <font>
      <sz val="10"/>
      <color indexed="10"/>
      <name val="Lucida Fax"/>
      <family val="1"/>
    </font>
    <font>
      <i/>
      <sz val="8"/>
      <name val="Lucida Fax"/>
      <family val="1"/>
    </font>
    <font>
      <i/>
      <sz val="8.5"/>
      <name val="Lucida Fax"/>
      <family val="1"/>
    </font>
    <font>
      <b/>
      <i/>
      <sz val="10"/>
      <name val="Lucida Fax"/>
      <family val="1"/>
    </font>
    <font>
      <sz val="10"/>
      <color indexed="9"/>
      <name val="Lucida Fax"/>
      <family val="1"/>
    </font>
    <font>
      <b/>
      <sz val="8"/>
      <name val="Lucida Fax"/>
      <family val="1"/>
    </font>
    <font>
      <b/>
      <sz val="11"/>
      <name val="Lucida Fax"/>
      <family val="1"/>
    </font>
    <font>
      <i/>
      <sz val="11"/>
      <name val="Lucida Fax"/>
      <family val="1"/>
    </font>
    <font>
      <b/>
      <sz val="12"/>
      <name val="Lucida Fax"/>
      <family val="1"/>
    </font>
    <font>
      <b/>
      <sz val="10"/>
      <name val="Arial"/>
      <family val="2"/>
    </font>
    <font>
      <u/>
      <sz val="10"/>
      <name val="Lucida Fax"/>
      <family val="1"/>
    </font>
    <font>
      <b/>
      <sz val="14"/>
      <name val="Lucida Fax"/>
      <family val="1"/>
    </font>
    <font>
      <b/>
      <sz val="14"/>
      <color indexed="10"/>
      <name val="Lucida Fax"/>
      <family val="1"/>
    </font>
    <font>
      <b/>
      <sz val="9"/>
      <name val="Lucida Fax"/>
      <family val="1"/>
    </font>
    <font>
      <b/>
      <sz val="10"/>
      <color indexed="10"/>
      <name val="Lucida Fax"/>
      <family val="1"/>
    </font>
    <font>
      <sz val="10"/>
      <name val="Times New Roman"/>
      <family val="1"/>
    </font>
    <font>
      <b/>
      <u/>
      <sz val="10"/>
      <name val="Times New Roman"/>
      <family val="1"/>
    </font>
    <font>
      <b/>
      <sz val="12"/>
      <name val="Times New Roman"/>
      <family val="1"/>
    </font>
    <font>
      <b/>
      <sz val="12"/>
      <color indexed="10"/>
      <name val="Times New Roman"/>
      <family val="1"/>
    </font>
    <font>
      <b/>
      <sz val="16"/>
      <name val="Times New Roman"/>
      <family val="1"/>
    </font>
    <font>
      <sz val="10"/>
      <name val="Arial"/>
      <family val="2"/>
    </font>
    <font>
      <sz val="12"/>
      <name val="Times New Roman"/>
      <family val="1"/>
    </font>
    <font>
      <sz val="12"/>
      <name val="Arial"/>
      <family val="2"/>
    </font>
    <font>
      <b/>
      <sz val="9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b/>
      <sz val="12"/>
      <color indexed="8"/>
      <name val="Arial"/>
      <family val="2"/>
    </font>
    <font>
      <sz val="9"/>
      <name val="Symbol"/>
      <family val="1"/>
      <charset val="2"/>
    </font>
    <font>
      <sz val="9"/>
      <name val="Times New Roman"/>
      <family val="1"/>
    </font>
    <font>
      <u/>
      <sz val="10"/>
      <name val="Arial"/>
      <family val="2"/>
    </font>
    <font>
      <i/>
      <sz val="10"/>
      <color indexed="22"/>
      <name val="Lucida Fax"/>
      <family val="1"/>
    </font>
    <font>
      <b/>
      <sz val="11"/>
      <color indexed="22"/>
      <name val="Lucida Fax"/>
      <family val="1"/>
    </font>
    <font>
      <b/>
      <sz val="11"/>
      <color indexed="8"/>
      <name val="Lucida Fax"/>
      <family val="1"/>
    </font>
    <font>
      <sz val="16"/>
      <name val="Arial"/>
      <family val="2"/>
    </font>
    <font>
      <b/>
      <sz val="11"/>
      <name val="Arial"/>
      <family val="2"/>
    </font>
    <font>
      <sz val="12"/>
      <name val="Lucida Fax"/>
      <family val="1"/>
    </font>
    <font>
      <sz val="10"/>
      <color indexed="22"/>
      <name val="Lucida Fax"/>
      <family val="1"/>
    </font>
    <font>
      <b/>
      <sz val="10"/>
      <name val="Calibri"/>
      <family val="2"/>
    </font>
    <font>
      <sz val="11"/>
      <name val="Arial"/>
      <family val="2"/>
    </font>
    <font>
      <b/>
      <sz val="12"/>
      <name val="Arial"/>
      <family val="2"/>
    </font>
    <font>
      <b/>
      <i/>
      <sz val="11"/>
      <color indexed="8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0"/>
      <name val="Arial"/>
      <family val="2"/>
    </font>
    <font>
      <sz val="8.5"/>
      <name val="Arial"/>
      <family val="2"/>
    </font>
    <font>
      <i/>
      <sz val="8"/>
      <name val="Arial"/>
      <family val="2"/>
    </font>
    <font>
      <sz val="18"/>
      <name val="Arial"/>
      <family val="2"/>
    </font>
    <font>
      <sz val="7"/>
      <name val="Lucida Fax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indexed="8"/>
      <name val="Arial"/>
      <family val="2"/>
    </font>
    <font>
      <b/>
      <sz val="10"/>
      <color rgb="FF2D2D2D"/>
      <name val="Calibri"/>
      <family val="2"/>
    </font>
    <font>
      <b/>
      <i/>
      <sz val="10"/>
      <color rgb="FF2D2D2D"/>
      <name val="Calibri"/>
      <family val="2"/>
    </font>
    <font>
      <b/>
      <sz val="10"/>
      <color rgb="FFFF0000"/>
      <name val="Arial"/>
      <family val="2"/>
    </font>
    <font>
      <sz val="9"/>
      <color rgb="FFFF0000"/>
      <name val="Arial"/>
      <family val="2"/>
    </font>
    <font>
      <b/>
      <sz val="9"/>
      <color rgb="FFFF0000"/>
      <name val="Arial"/>
      <family val="2"/>
    </font>
    <font>
      <sz val="36"/>
      <color theme="0"/>
      <name val="Calibri"/>
      <family val="2"/>
      <scheme val="minor"/>
    </font>
    <font>
      <b/>
      <sz val="26"/>
      <name val="Times New Roman"/>
      <family val="1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4"/>
      <color rgb="FF3F3F76"/>
      <name val="Calibri"/>
      <family val="2"/>
      <scheme val="minor"/>
    </font>
    <font>
      <b/>
      <i/>
      <u/>
      <sz val="14"/>
      <color rgb="FF9C0006"/>
      <name val="Calibri"/>
      <family val="2"/>
      <scheme val="minor"/>
    </font>
    <font>
      <b/>
      <i/>
      <u/>
      <sz val="14"/>
      <color rgb="FF0061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0070C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</fills>
  <borders count="49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/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9">
    <xf numFmtId="0" fontId="0" fillId="0" borderId="0"/>
    <xf numFmtId="44" fontId="5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66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38" fillId="0" borderId="0"/>
    <xf numFmtId="0" fontId="66" fillId="0" borderId="0"/>
    <xf numFmtId="9" fontId="5" fillId="0" borderId="0" applyFont="0" applyFill="0" applyBorder="0" applyAlignment="0" applyProtection="0"/>
    <xf numFmtId="0" fontId="3" fillId="20" borderId="0" applyNumberFormat="0" applyBorder="0" applyAlignment="0" applyProtection="0"/>
    <xf numFmtId="0" fontId="3" fillId="0" borderId="0"/>
    <xf numFmtId="0" fontId="87" fillId="22" borderId="0" applyNumberFormat="0" applyBorder="0" applyAlignment="0" applyProtection="0"/>
    <xf numFmtId="0" fontId="88" fillId="23" borderId="45" applyNumberFormat="0" applyAlignment="0" applyProtection="0"/>
    <xf numFmtId="0" fontId="89" fillId="24" borderId="46" applyNumberFormat="0" applyAlignment="0" applyProtection="0"/>
    <xf numFmtId="0" fontId="90" fillId="25" borderId="0" applyNumberFormat="0" applyBorder="0" applyAlignment="0" applyProtection="0"/>
    <xf numFmtId="0" fontId="91" fillId="26" borderId="0" applyNumberFormat="0" applyBorder="0" applyAlignment="0" applyProtection="0"/>
    <xf numFmtId="0" fontId="92" fillId="27" borderId="48" applyNumberFormat="0" applyAlignment="0" applyProtection="0"/>
    <xf numFmtId="0" fontId="93" fillId="0" borderId="0" applyNumberFormat="0" applyFill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</cellStyleXfs>
  <cellXfs count="652">
    <xf numFmtId="0" fontId="0" fillId="0" borderId="0" xfId="0"/>
    <xf numFmtId="0" fontId="7" fillId="0" borderId="0" xfId="0" applyFont="1"/>
    <xf numFmtId="0" fontId="0" fillId="0" borderId="0" xfId="0" applyAlignment="1">
      <alignment wrapText="1"/>
    </xf>
    <xf numFmtId="0" fontId="11" fillId="0" borderId="0" xfId="0" applyFont="1" applyAlignment="1">
      <alignment wrapText="1"/>
    </xf>
    <xf numFmtId="0" fontId="11" fillId="0" borderId="0" xfId="0" applyFont="1"/>
    <xf numFmtId="0" fontId="14" fillId="0" borderId="0" xfId="0" applyFont="1"/>
    <xf numFmtId="0" fontId="15" fillId="0" borderId="0" xfId="0" applyFont="1" applyAlignment="1">
      <alignment wrapText="1"/>
    </xf>
    <xf numFmtId="1" fontId="18" fillId="0" borderId="1" xfId="0" applyNumberFormat="1" applyFont="1" applyBorder="1" applyAlignment="1">
      <alignment horizontal="center"/>
    </xf>
    <xf numFmtId="0" fontId="13" fillId="0" borderId="0" xfId="0" applyFont="1" applyAlignment="1">
      <alignment wrapText="1"/>
    </xf>
    <xf numFmtId="0" fontId="16" fillId="0" borderId="0" xfId="0" applyFont="1" applyAlignment="1">
      <alignment wrapText="1"/>
    </xf>
    <xf numFmtId="0" fontId="13" fillId="0" borderId="0" xfId="0" applyFont="1" applyAlignment="1">
      <alignment wrapText="1" shrinkToFit="1"/>
    </xf>
    <xf numFmtId="0" fontId="33" fillId="0" borderId="0" xfId="0" applyFont="1"/>
    <xf numFmtId="0" fontId="40" fillId="0" borderId="0" xfId="0" applyFont="1"/>
    <xf numFmtId="0" fontId="27" fillId="0" borderId="0" xfId="0" applyFont="1"/>
    <xf numFmtId="0" fontId="42" fillId="3" borderId="0" xfId="0" applyFont="1" applyFill="1"/>
    <xf numFmtId="0" fontId="44" fillId="3" borderId="0" xfId="0" applyFont="1" applyFill="1"/>
    <xf numFmtId="0" fontId="43" fillId="3" borderId="0" xfId="0" applyFont="1" applyFill="1"/>
    <xf numFmtId="0" fontId="44" fillId="3" borderId="0" xfId="0" quotePrefix="1" applyFont="1" applyFill="1" applyAlignment="1">
      <alignment horizontal="right"/>
    </xf>
    <xf numFmtId="14" fontId="42" fillId="3" borderId="0" xfId="0" applyNumberFormat="1" applyFont="1" applyFill="1"/>
    <xf numFmtId="0" fontId="24" fillId="3" borderId="0" xfId="0" applyFont="1" applyFill="1"/>
    <xf numFmtId="0" fontId="7" fillId="3" borderId="0" xfId="0" applyFont="1" applyFill="1"/>
    <xf numFmtId="0" fontId="8" fillId="3" borderId="2" xfId="0" applyFont="1" applyFill="1" applyBorder="1" applyAlignment="1">
      <alignment horizontal="center"/>
    </xf>
    <xf numFmtId="0" fontId="7" fillId="3" borderId="6" xfId="0" applyFont="1" applyFill="1" applyBorder="1"/>
    <xf numFmtId="0" fontId="18" fillId="3" borderId="2" xfId="0" applyFont="1" applyFill="1" applyBorder="1" applyAlignment="1">
      <alignment horizontal="center"/>
    </xf>
    <xf numFmtId="0" fontId="34" fillId="0" borderId="0" xfId="0" applyFont="1" applyAlignment="1">
      <alignment horizontal="justify"/>
    </xf>
    <xf numFmtId="0" fontId="41" fillId="0" borderId="0" xfId="0" applyFont="1" applyAlignment="1">
      <alignment horizontal="justify"/>
    </xf>
    <xf numFmtId="9" fontId="0" fillId="0" borderId="0" xfId="0" applyNumberFormat="1"/>
    <xf numFmtId="0" fontId="45" fillId="0" borderId="0" xfId="0" applyFont="1" applyAlignment="1">
      <alignment horizontal="justify"/>
    </xf>
    <xf numFmtId="170" fontId="0" fillId="0" borderId="0" xfId="0" applyNumberFormat="1"/>
    <xf numFmtId="9" fontId="27" fillId="0" borderId="0" xfId="0" applyNumberFormat="1" applyFont="1"/>
    <xf numFmtId="0" fontId="46" fillId="0" borderId="0" xfId="0" applyFont="1" applyAlignment="1">
      <alignment horizontal="left" vertical="top" wrapText="1" indent="2"/>
    </xf>
    <xf numFmtId="9" fontId="33" fillId="0" borderId="0" xfId="0" applyNumberFormat="1" applyFont="1" applyAlignment="1">
      <alignment horizontal="justify" vertical="top" wrapText="1"/>
    </xf>
    <xf numFmtId="0" fontId="46" fillId="0" borderId="0" xfId="0" applyFont="1" applyAlignment="1">
      <alignment horizontal="justify" vertical="top" wrapText="1"/>
    </xf>
    <xf numFmtId="0" fontId="40" fillId="3" borderId="0" xfId="0" applyFont="1" applyFill="1"/>
    <xf numFmtId="168" fontId="40" fillId="3" borderId="0" xfId="0" applyNumberFormat="1" applyFont="1" applyFill="1"/>
    <xf numFmtId="0" fontId="0" fillId="0" borderId="0" xfId="0" applyAlignment="1">
      <alignment horizontal="center"/>
    </xf>
    <xf numFmtId="0" fontId="0" fillId="3" borderId="0" xfId="0" applyFill="1"/>
    <xf numFmtId="0" fontId="41" fillId="0" borderId="0" xfId="0" applyFont="1"/>
    <xf numFmtId="0" fontId="27" fillId="0" borderId="2" xfId="5" applyFont="1" applyBorder="1" applyAlignment="1">
      <alignment horizontal="center" wrapText="1"/>
    </xf>
    <xf numFmtId="0" fontId="38" fillId="0" borderId="14" xfId="5" applyBorder="1" applyAlignment="1">
      <alignment horizontal="center"/>
    </xf>
    <xf numFmtId="0" fontId="38" fillId="0" borderId="2" xfId="5" applyBorder="1" applyAlignment="1">
      <alignment horizontal="center"/>
    </xf>
    <xf numFmtId="0" fontId="38" fillId="0" borderId="2" xfId="5" applyBorder="1"/>
    <xf numFmtId="0" fontId="38" fillId="0" borderId="2" xfId="5" applyBorder="1" applyAlignment="1">
      <alignment horizontal="left" vertical="top" wrapText="1"/>
    </xf>
    <xf numFmtId="0" fontId="0" fillId="0" borderId="2" xfId="0" applyBorder="1" applyAlignment="1">
      <alignment horizontal="center"/>
    </xf>
    <xf numFmtId="0" fontId="27" fillId="0" borderId="2" xfId="5" applyFont="1" applyBorder="1" applyAlignment="1">
      <alignment horizontal="left" vertical="top" wrapText="1"/>
    </xf>
    <xf numFmtId="0" fontId="0" fillId="0" borderId="14" xfId="0" applyBorder="1" applyAlignment="1">
      <alignment horizontal="center"/>
    </xf>
    <xf numFmtId="44" fontId="27" fillId="0" borderId="2" xfId="2" applyFont="1" applyBorder="1" applyAlignment="1">
      <alignment horizontal="center" wrapText="1"/>
    </xf>
    <xf numFmtId="0" fontId="67" fillId="0" borderId="2" xfId="0" applyFont="1" applyBorder="1" applyAlignment="1">
      <alignment horizontal="center" wrapText="1"/>
    </xf>
    <xf numFmtId="0" fontId="68" fillId="0" borderId="2" xfId="0" applyFont="1" applyBorder="1" applyAlignment="1">
      <alignment horizontal="center" wrapText="1"/>
    </xf>
    <xf numFmtId="169" fontId="56" fillId="0" borderId="2" xfId="0" applyNumberFormat="1" applyFont="1" applyBorder="1" applyAlignment="1">
      <alignment horizontal="center" wrapText="1"/>
    </xf>
    <xf numFmtId="0" fontId="56" fillId="0" borderId="2" xfId="0" applyFont="1" applyBorder="1" applyAlignment="1">
      <alignment horizontal="center" wrapText="1"/>
    </xf>
    <xf numFmtId="0" fontId="69" fillId="0" borderId="2" xfId="0" applyFont="1" applyBorder="1" applyAlignment="1">
      <alignment horizontal="center" wrapText="1"/>
    </xf>
    <xf numFmtId="0" fontId="69" fillId="0" borderId="12" xfId="0" applyFont="1" applyBorder="1" applyAlignment="1">
      <alignment horizontal="center" wrapText="1"/>
    </xf>
    <xf numFmtId="0" fontId="70" fillId="0" borderId="9" xfId="0" applyFont="1" applyBorder="1" applyAlignment="1">
      <alignment horizontal="left"/>
    </xf>
    <xf numFmtId="0" fontId="67" fillId="0" borderId="15" xfId="0" applyFont="1" applyBorder="1" applyAlignment="1">
      <alignment horizontal="center" wrapText="1"/>
    </xf>
    <xf numFmtId="0" fontId="67" fillId="0" borderId="6" xfId="0" applyFont="1" applyBorder="1" applyAlignment="1">
      <alignment horizontal="center" wrapText="1"/>
    </xf>
    <xf numFmtId="0" fontId="70" fillId="0" borderId="16" xfId="0" applyFont="1" applyBorder="1" applyAlignment="1">
      <alignment horizontal="left"/>
    </xf>
    <xf numFmtId="0" fontId="67" fillId="0" borderId="5" xfId="0" applyFont="1" applyBorder="1" applyAlignment="1">
      <alignment horizontal="center" wrapText="1"/>
    </xf>
    <xf numFmtId="0" fontId="67" fillId="0" borderId="11" xfId="0" applyFont="1" applyBorder="1" applyAlignment="1">
      <alignment horizontal="center" wrapText="1"/>
    </xf>
    <xf numFmtId="0" fontId="67" fillId="0" borderId="0" xfId="0" applyFont="1" applyAlignment="1">
      <alignment horizontal="center" wrapText="1"/>
    </xf>
    <xf numFmtId="0" fontId="15" fillId="0" borderId="0" xfId="0" applyFont="1"/>
    <xf numFmtId="0" fontId="66" fillId="0" borderId="0" xfId="6"/>
    <xf numFmtId="0" fontId="71" fillId="0" borderId="2" xfId="6" applyFont="1" applyBorder="1"/>
    <xf numFmtId="0" fontId="66" fillId="0" borderId="2" xfId="6" applyBorder="1" applyAlignment="1">
      <alignment horizontal="right"/>
    </xf>
    <xf numFmtId="0" fontId="66" fillId="0" borderId="2" xfId="6" applyBorder="1"/>
    <xf numFmtId="0" fontId="66" fillId="0" borderId="14" xfId="6" applyBorder="1"/>
    <xf numFmtId="0" fontId="71" fillId="0" borderId="14" xfId="6" applyFont="1" applyBorder="1"/>
    <xf numFmtId="43" fontId="0" fillId="0" borderId="2" xfId="1" applyNumberFormat="1" applyFont="1" applyBorder="1"/>
    <xf numFmtId="4" fontId="0" fillId="0" borderId="2" xfId="3" applyNumberFormat="1" applyFont="1" applyBorder="1"/>
    <xf numFmtId="0" fontId="71" fillId="0" borderId="2" xfId="6" applyFont="1" applyBorder="1" applyAlignment="1">
      <alignment horizontal="center"/>
    </xf>
    <xf numFmtId="0" fontId="66" fillId="9" borderId="2" xfId="6" applyFill="1" applyBorder="1" applyAlignment="1" applyProtection="1">
      <alignment horizontal="center"/>
      <protection locked="0"/>
    </xf>
    <xf numFmtId="4" fontId="66" fillId="9" borderId="2" xfId="6" applyNumberFormat="1" applyFill="1" applyBorder="1" applyProtection="1">
      <protection locked="0"/>
    </xf>
    <xf numFmtId="4" fontId="66" fillId="0" borderId="2" xfId="6" applyNumberFormat="1" applyBorder="1"/>
    <xf numFmtId="0" fontId="72" fillId="0" borderId="0" xfId="0" applyFont="1"/>
    <xf numFmtId="10" fontId="0" fillId="0" borderId="0" xfId="0" applyNumberFormat="1"/>
    <xf numFmtId="10" fontId="0" fillId="10" borderId="2" xfId="0" applyNumberFormat="1" applyFill="1" applyBorder="1"/>
    <xf numFmtId="0" fontId="71" fillId="11" borderId="9" xfId="0" applyFont="1" applyFill="1" applyBorder="1"/>
    <xf numFmtId="10" fontId="0" fillId="12" borderId="2" xfId="0" applyNumberFormat="1" applyFill="1" applyBorder="1"/>
    <xf numFmtId="0" fontId="71" fillId="11" borderId="2" xfId="0" applyFont="1" applyFill="1" applyBorder="1"/>
    <xf numFmtId="10" fontId="0" fillId="13" borderId="2" xfId="0" applyNumberFormat="1" applyFill="1" applyBorder="1"/>
    <xf numFmtId="0" fontId="71" fillId="13" borderId="2" xfId="0" applyFont="1" applyFill="1" applyBorder="1"/>
    <xf numFmtId="10" fontId="0" fillId="11" borderId="2" xfId="0" applyNumberFormat="1" applyFill="1" applyBorder="1"/>
    <xf numFmtId="169" fontId="0" fillId="0" borderId="9" xfId="0" applyNumberFormat="1" applyBorder="1"/>
    <xf numFmtId="169" fontId="0" fillId="0" borderId="2" xfId="0" applyNumberFormat="1" applyBorder="1"/>
    <xf numFmtId="169" fontId="0" fillId="13" borderId="9" xfId="0" applyNumberFormat="1" applyFill="1" applyBorder="1"/>
    <xf numFmtId="169" fontId="0" fillId="13" borderId="2" xfId="0" applyNumberFormat="1" applyFill="1" applyBorder="1"/>
    <xf numFmtId="0" fontId="0" fillId="10" borderId="17" xfId="0" applyFill="1" applyBorder="1"/>
    <xf numFmtId="0" fontId="0" fillId="10" borderId="0" xfId="0" applyFill="1"/>
    <xf numFmtId="0" fontId="0" fillId="10" borderId="18" xfId="0" applyFill="1" applyBorder="1"/>
    <xf numFmtId="0" fontId="0" fillId="0" borderId="18" xfId="0" applyBorder="1"/>
    <xf numFmtId="0" fontId="0" fillId="12" borderId="17" xfId="0" applyFill="1" applyBorder="1"/>
    <xf numFmtId="0" fontId="0" fillId="12" borderId="0" xfId="0" applyFill="1"/>
    <xf numFmtId="1" fontId="0" fillId="12" borderId="0" xfId="0" applyNumberFormat="1" applyFill="1"/>
    <xf numFmtId="0" fontId="73" fillId="0" borderId="0" xfId="0" applyFont="1" applyAlignment="1">
      <alignment horizontal="center"/>
    </xf>
    <xf numFmtId="0" fontId="73" fillId="10" borderId="2" xfId="0" applyFont="1" applyFill="1" applyBorder="1" applyAlignment="1">
      <alignment horizontal="center"/>
    </xf>
    <xf numFmtId="0" fontId="71" fillId="0" borderId="2" xfId="0" applyFont="1" applyBorder="1"/>
    <xf numFmtId="0" fontId="73" fillId="12" borderId="2" xfId="0" applyFont="1" applyFill="1" applyBorder="1" applyAlignment="1">
      <alignment horizontal="center"/>
    </xf>
    <xf numFmtId="1" fontId="73" fillId="12" borderId="2" xfId="0" applyNumberFormat="1" applyFont="1" applyFill="1" applyBorder="1" applyAlignment="1">
      <alignment horizontal="center"/>
    </xf>
    <xf numFmtId="0" fontId="74" fillId="0" borderId="0" xfId="0" applyFont="1" applyAlignment="1">
      <alignment horizontal="center"/>
    </xf>
    <xf numFmtId="0" fontId="75" fillId="0" borderId="0" xfId="0" applyFont="1" applyAlignment="1">
      <alignment horizontal="center"/>
    </xf>
    <xf numFmtId="6" fontId="71" fillId="0" borderId="18" xfId="0" applyNumberFormat="1" applyFont="1" applyBorder="1"/>
    <xf numFmtId="0" fontId="0" fillId="12" borderId="18" xfId="0" applyFill="1" applyBorder="1"/>
    <xf numFmtId="0" fontId="0" fillId="10" borderId="13" xfId="0" applyFill="1" applyBorder="1"/>
    <xf numFmtId="0" fontId="0" fillId="10" borderId="7" xfId="0" applyFill="1" applyBorder="1"/>
    <xf numFmtId="0" fontId="0" fillId="10" borderId="19" xfId="0" applyFill="1" applyBorder="1"/>
    <xf numFmtId="0" fontId="0" fillId="0" borderId="19" xfId="0" applyBorder="1"/>
    <xf numFmtId="0" fontId="0" fillId="12" borderId="13" xfId="0" applyFill="1" applyBorder="1"/>
    <xf numFmtId="0" fontId="0" fillId="12" borderId="7" xfId="0" applyFill="1" applyBorder="1"/>
    <xf numFmtId="0" fontId="0" fillId="12" borderId="19" xfId="0" applyFill="1" applyBorder="1"/>
    <xf numFmtId="10" fontId="0" fillId="14" borderId="2" xfId="0" applyNumberFormat="1" applyFill="1" applyBorder="1"/>
    <xf numFmtId="10" fontId="0" fillId="15" borderId="2" xfId="0" applyNumberFormat="1" applyFill="1" applyBorder="1"/>
    <xf numFmtId="10" fontId="0" fillId="16" borderId="2" xfId="0" applyNumberFormat="1" applyFill="1" applyBorder="1"/>
    <xf numFmtId="1" fontId="0" fillId="14" borderId="17" xfId="0" applyNumberFormat="1" applyFill="1" applyBorder="1"/>
    <xf numFmtId="1" fontId="0" fillId="14" borderId="0" xfId="0" applyNumberFormat="1" applyFill="1"/>
    <xf numFmtId="1" fontId="0" fillId="14" borderId="18" xfId="0" applyNumberFormat="1" applyFill="1" applyBorder="1"/>
    <xf numFmtId="1" fontId="0" fillId="0" borderId="0" xfId="0" applyNumberFormat="1"/>
    <xf numFmtId="1" fontId="0" fillId="15" borderId="17" xfId="0" applyNumberFormat="1" applyFill="1" applyBorder="1"/>
    <xf numFmtId="1" fontId="0" fillId="15" borderId="0" xfId="0" applyNumberFormat="1" applyFill="1"/>
    <xf numFmtId="1" fontId="0" fillId="15" borderId="18" xfId="0" applyNumberFormat="1" applyFill="1" applyBorder="1"/>
    <xf numFmtId="0" fontId="0" fillId="16" borderId="17" xfId="0" applyFill="1" applyBorder="1"/>
    <xf numFmtId="0" fontId="0" fillId="16" borderId="0" xfId="0" applyFill="1"/>
    <xf numFmtId="0" fontId="71" fillId="0" borderId="20" xfId="0" applyFont="1" applyBorder="1"/>
    <xf numFmtId="1" fontId="73" fillId="14" borderId="2" xfId="0" applyNumberFormat="1" applyFont="1" applyFill="1" applyBorder="1" applyAlignment="1">
      <alignment horizontal="center"/>
    </xf>
    <xf numFmtId="1" fontId="73" fillId="0" borderId="0" xfId="0" applyNumberFormat="1" applyFont="1" applyAlignment="1">
      <alignment horizontal="center"/>
    </xf>
    <xf numFmtId="1" fontId="73" fillId="15" borderId="2" xfId="0" applyNumberFormat="1" applyFont="1" applyFill="1" applyBorder="1" applyAlignment="1">
      <alignment horizontal="center"/>
    </xf>
    <xf numFmtId="0" fontId="73" fillId="16" borderId="2" xfId="0" applyFont="1" applyFill="1" applyBorder="1" applyAlignment="1">
      <alignment horizontal="center"/>
    </xf>
    <xf numFmtId="0" fontId="71" fillId="0" borderId="0" xfId="0" applyFont="1"/>
    <xf numFmtId="0" fontId="74" fillId="0" borderId="0" xfId="0" applyFont="1" applyAlignment="1">
      <alignment horizontal="center" wrapText="1"/>
    </xf>
    <xf numFmtId="10" fontId="74" fillId="0" borderId="21" xfId="0" applyNumberFormat="1" applyFont="1" applyBorder="1" applyProtection="1">
      <protection locked="0"/>
    </xf>
    <xf numFmtId="0" fontId="0" fillId="14" borderId="17" xfId="0" applyFill="1" applyBorder="1"/>
    <xf numFmtId="0" fontId="0" fillId="14" borderId="0" xfId="0" applyFill="1"/>
    <xf numFmtId="0" fontId="0" fillId="14" borderId="18" xfId="0" applyFill="1" applyBorder="1"/>
    <xf numFmtId="0" fontId="0" fillId="15" borderId="17" xfId="0" applyFill="1" applyBorder="1"/>
    <xf numFmtId="0" fontId="0" fillId="15" borderId="0" xfId="0" applyFill="1"/>
    <xf numFmtId="0" fontId="0" fillId="15" borderId="18" xfId="0" applyFill="1" applyBorder="1"/>
    <xf numFmtId="0" fontId="0" fillId="16" borderId="18" xfId="0" applyFill="1" applyBorder="1"/>
    <xf numFmtId="0" fontId="71" fillId="0" borderId="18" xfId="0" applyFont="1" applyBorder="1"/>
    <xf numFmtId="0" fontId="76" fillId="0" borderId="21" xfId="0" applyFont="1" applyBorder="1"/>
    <xf numFmtId="0" fontId="0" fillId="14" borderId="13" xfId="0" applyFill="1" applyBorder="1"/>
    <xf numFmtId="0" fontId="0" fillId="14" borderId="7" xfId="0" applyFill="1" applyBorder="1"/>
    <xf numFmtId="0" fontId="0" fillId="14" borderId="19" xfId="0" applyFill="1" applyBorder="1"/>
    <xf numFmtId="0" fontId="0" fillId="15" borderId="13" xfId="0" applyFill="1" applyBorder="1"/>
    <xf numFmtId="0" fontId="0" fillId="15" borderId="7" xfId="0" applyFill="1" applyBorder="1"/>
    <xf numFmtId="0" fontId="0" fillId="15" borderId="19" xfId="0" applyFill="1" applyBorder="1"/>
    <xf numFmtId="0" fontId="0" fillId="16" borderId="13" xfId="0" applyFill="1" applyBorder="1"/>
    <xf numFmtId="0" fontId="0" fillId="16" borderId="7" xfId="0" applyFill="1" applyBorder="1"/>
    <xf numFmtId="0" fontId="0" fillId="16" borderId="19" xfId="0" applyFill="1" applyBorder="1"/>
    <xf numFmtId="0" fontId="77" fillId="0" borderId="0" xfId="0" applyFont="1"/>
    <xf numFmtId="10" fontId="71" fillId="9" borderId="2" xfId="7" applyNumberFormat="1" applyFont="1" applyFill="1" applyBorder="1" applyProtection="1">
      <protection locked="0"/>
    </xf>
    <xf numFmtId="165" fontId="0" fillId="0" borderId="0" xfId="0" applyNumberFormat="1"/>
    <xf numFmtId="10" fontId="0" fillId="0" borderId="2" xfId="0" applyNumberFormat="1" applyBorder="1"/>
    <xf numFmtId="44" fontId="7" fillId="0" borderId="0" xfId="0" applyNumberFormat="1" applyFont="1"/>
    <xf numFmtId="10" fontId="7" fillId="0" borderId="0" xfId="0" applyNumberFormat="1" applyFont="1"/>
    <xf numFmtId="0" fontId="62" fillId="0" borderId="0" xfId="0" applyFont="1"/>
    <xf numFmtId="0" fontId="5" fillId="0" borderId="0" xfId="0" applyFont="1"/>
    <xf numFmtId="0" fontId="39" fillId="8" borderId="0" xfId="0" applyFont="1" applyFill="1"/>
    <xf numFmtId="0" fontId="40" fillId="8" borderId="0" xfId="0" applyFont="1" applyFill="1"/>
    <xf numFmtId="168" fontId="40" fillId="8" borderId="0" xfId="0" applyNumberFormat="1" applyFont="1" applyFill="1"/>
    <xf numFmtId="0" fontId="0" fillId="8" borderId="0" xfId="0" applyFill="1"/>
    <xf numFmtId="0" fontId="42" fillId="8" borderId="0" xfId="0" applyFont="1" applyFill="1" applyAlignment="1" applyProtection="1">
      <alignment horizontal="center"/>
      <protection locked="0"/>
    </xf>
    <xf numFmtId="0" fontId="43" fillId="8" borderId="0" xfId="0" applyFont="1" applyFill="1"/>
    <xf numFmtId="0" fontId="42" fillId="8" borderId="0" xfId="0" applyFont="1" applyFill="1" applyAlignment="1">
      <alignment horizontal="right"/>
    </xf>
    <xf numFmtId="0" fontId="42" fillId="8" borderId="0" xfId="0" applyFont="1" applyFill="1" applyProtection="1">
      <protection locked="0"/>
    </xf>
    <xf numFmtId="0" fontId="5" fillId="3" borderId="0" xfId="0" applyFont="1" applyFill="1"/>
    <xf numFmtId="0" fontId="5" fillId="3" borderId="0" xfId="0" applyFont="1" applyFill="1" applyAlignment="1">
      <alignment horizontal="right"/>
    </xf>
    <xf numFmtId="49" fontId="42" fillId="3" borderId="0" xfId="0" applyNumberFormat="1" applyFont="1" applyFill="1"/>
    <xf numFmtId="0" fontId="79" fillId="8" borderId="0" xfId="0" applyFont="1" applyFill="1"/>
    <xf numFmtId="49" fontId="42" fillId="8" borderId="0" xfId="0" applyNumberFormat="1" applyFont="1" applyFill="1"/>
    <xf numFmtId="0" fontId="42" fillId="3" borderId="0" xfId="0" applyFont="1" applyFill="1" applyAlignment="1">
      <alignment horizontal="center"/>
    </xf>
    <xf numFmtId="0" fontId="42" fillId="8" borderId="0" xfId="0" applyFont="1" applyFill="1"/>
    <xf numFmtId="0" fontId="56" fillId="8" borderId="18" xfId="0" applyFont="1" applyFill="1" applyBorder="1" applyAlignment="1" applyProtection="1">
      <alignment horizontal="center" wrapText="1"/>
      <protection locked="0"/>
    </xf>
    <xf numFmtId="0" fontId="56" fillId="8" borderId="0" xfId="0" applyFont="1" applyFill="1" applyAlignment="1" applyProtection="1">
      <alignment horizontal="center" wrapText="1"/>
      <protection locked="0"/>
    </xf>
    <xf numFmtId="0" fontId="56" fillId="8" borderId="17" xfId="0" applyFont="1" applyFill="1" applyBorder="1" applyAlignment="1" applyProtection="1">
      <alignment horizontal="center" wrapText="1"/>
      <protection locked="0"/>
    </xf>
    <xf numFmtId="0" fontId="40" fillId="8" borderId="18" xfId="0" applyFont="1" applyFill="1" applyBorder="1"/>
    <xf numFmtId="0" fontId="40" fillId="8" borderId="17" xfId="0" applyFont="1" applyFill="1" applyBorder="1"/>
    <xf numFmtId="0" fontId="40" fillId="8" borderId="0" xfId="0" applyFont="1" applyFill="1" applyAlignment="1">
      <alignment horizontal="left"/>
    </xf>
    <xf numFmtId="0" fontId="40" fillId="8" borderId="5" xfId="0" applyFont="1" applyFill="1" applyBorder="1"/>
    <xf numFmtId="0" fontId="40" fillId="8" borderId="11" xfId="0" applyFont="1" applyFill="1" applyBorder="1"/>
    <xf numFmtId="0" fontId="42" fillId="0" borderId="0" xfId="0" applyFont="1" applyProtection="1">
      <protection locked="0"/>
    </xf>
    <xf numFmtId="0" fontId="40" fillId="0" borderId="0" xfId="0" applyFont="1" applyProtection="1">
      <protection locked="0"/>
    </xf>
    <xf numFmtId="0" fontId="40" fillId="0" borderId="0" xfId="0" applyFont="1" applyAlignment="1" applyProtection="1">
      <alignment horizontal="center"/>
      <protection locked="0"/>
    </xf>
    <xf numFmtId="44" fontId="40" fillId="0" borderId="2" xfId="1" applyFont="1" applyBorder="1" applyProtection="1">
      <protection locked="0"/>
    </xf>
    <xf numFmtId="0" fontId="5" fillId="0" borderId="2" xfId="5" applyFont="1" applyBorder="1" applyAlignment="1">
      <alignment horizontal="center" wrapText="1"/>
    </xf>
    <xf numFmtId="0" fontId="0" fillId="0" borderId="0" xfId="0" applyProtection="1">
      <protection hidden="1"/>
    </xf>
    <xf numFmtId="0" fontId="80" fillId="0" borderId="2" xfId="0" applyFont="1" applyBorder="1" applyAlignment="1" applyProtection="1">
      <alignment vertical="center" wrapText="1"/>
      <protection hidden="1"/>
    </xf>
    <xf numFmtId="0" fontId="81" fillId="0" borderId="2" xfId="0" applyFont="1" applyBorder="1" applyAlignment="1" applyProtection="1">
      <alignment vertical="center" wrapText="1"/>
      <protection hidden="1"/>
    </xf>
    <xf numFmtId="0" fontId="27" fillId="0" borderId="14" xfId="0" applyFont="1" applyBorder="1" applyAlignment="1" applyProtection="1">
      <alignment horizontal="center"/>
      <protection locked="0"/>
    </xf>
    <xf numFmtId="4" fontId="5" fillId="9" borderId="2" xfId="3" applyNumberFormat="1" applyFont="1" applyFill="1" applyBorder="1" applyProtection="1">
      <protection locked="0"/>
    </xf>
    <xf numFmtId="44" fontId="5" fillId="0" borderId="2" xfId="2" applyFont="1" applyBorder="1" applyAlignment="1">
      <alignment horizontal="center" wrapText="1"/>
    </xf>
    <xf numFmtId="44" fontId="5" fillId="0" borderId="12" xfId="2" applyFont="1" applyBorder="1" applyAlignment="1">
      <alignment horizontal="center" wrapText="1"/>
    </xf>
    <xf numFmtId="0" fontId="5" fillId="0" borderId="0" xfId="5" applyFont="1" applyAlignment="1">
      <alignment horizontal="center" wrapText="1"/>
    </xf>
    <xf numFmtId="0" fontId="5" fillId="0" borderId="14" xfId="5" applyFont="1" applyBorder="1" applyAlignment="1">
      <alignment horizontal="left" vertical="top" wrapText="1"/>
    </xf>
    <xf numFmtId="0" fontId="5" fillId="0" borderId="14" xfId="5" applyFont="1" applyBorder="1" applyAlignment="1">
      <alignment horizontal="center"/>
    </xf>
    <xf numFmtId="0" fontId="5" fillId="0" borderId="2" xfId="5" applyFont="1" applyBorder="1" applyAlignment="1">
      <alignment horizontal="left" vertical="top" wrapText="1"/>
    </xf>
    <xf numFmtId="0" fontId="5" fillId="0" borderId="2" xfId="5" applyFont="1" applyBorder="1" applyAlignment="1">
      <alignment horizontal="center"/>
    </xf>
    <xf numFmtId="0" fontId="15" fillId="0" borderId="0" xfId="0" applyFont="1" applyAlignment="1">
      <alignment horizontal="justify"/>
    </xf>
    <xf numFmtId="9" fontId="15" fillId="0" borderId="0" xfId="0" applyNumberFormat="1" applyFont="1" applyAlignment="1">
      <alignment horizontal="justify"/>
    </xf>
    <xf numFmtId="0" fontId="72" fillId="0" borderId="2" xfId="5" applyFont="1" applyBorder="1" applyAlignment="1">
      <alignment horizontal="center"/>
    </xf>
    <xf numFmtId="0" fontId="72" fillId="0" borderId="2" xfId="5" applyFont="1" applyBorder="1" applyAlignment="1">
      <alignment horizontal="left" vertical="top" wrapText="1"/>
    </xf>
    <xf numFmtId="44" fontId="72" fillId="0" borderId="2" xfId="2" applyFont="1" applyBorder="1" applyAlignment="1">
      <alignment horizontal="center" wrapText="1"/>
    </xf>
    <xf numFmtId="0" fontId="72" fillId="0" borderId="2" xfId="5" applyFont="1" applyBorder="1" applyAlignment="1">
      <alignment horizontal="center" wrapText="1"/>
    </xf>
    <xf numFmtId="0" fontId="72" fillId="0" borderId="0" xfId="0" applyFont="1" applyAlignment="1">
      <alignment horizontal="center" vertical="center" wrapText="1"/>
    </xf>
    <xf numFmtId="0" fontId="82" fillId="0" borderId="0" xfId="0" applyFont="1"/>
    <xf numFmtId="0" fontId="72" fillId="0" borderId="0" xfId="0" applyFont="1" applyAlignment="1">
      <alignment horizontal="center" wrapText="1"/>
    </xf>
    <xf numFmtId="0" fontId="83" fillId="0" borderId="0" xfId="0" applyFont="1"/>
    <xf numFmtId="0" fontId="84" fillId="0" borderId="0" xfId="0" applyFont="1"/>
    <xf numFmtId="49" fontId="0" fillId="0" borderId="0" xfId="0" applyNumberFormat="1"/>
    <xf numFmtId="49" fontId="80" fillId="0" borderId="0" xfId="0" applyNumberFormat="1" applyFont="1" applyAlignment="1" applyProtection="1">
      <alignment vertical="center" wrapText="1"/>
      <protection hidden="1"/>
    </xf>
    <xf numFmtId="49" fontId="81" fillId="0" borderId="0" xfId="0" applyNumberFormat="1" applyFont="1" applyAlignment="1" applyProtection="1">
      <alignment vertical="center" wrapText="1"/>
      <protection hidden="1"/>
    </xf>
    <xf numFmtId="49" fontId="0" fillId="0" borderId="0" xfId="0" applyNumberFormat="1" applyProtection="1">
      <protection hidden="1"/>
    </xf>
    <xf numFmtId="49" fontId="80" fillId="0" borderId="0" xfId="0" quotePrefix="1" applyNumberFormat="1" applyFont="1" applyAlignment="1" applyProtection="1">
      <alignment vertical="center" wrapText="1"/>
      <protection hidden="1"/>
    </xf>
    <xf numFmtId="0" fontId="71" fillId="0" borderId="2" xfId="6" applyFont="1" applyBorder="1" applyAlignment="1">
      <alignment horizontal="right"/>
    </xf>
    <xf numFmtId="0" fontId="44" fillId="4" borderId="0" xfId="0" applyFont="1" applyFill="1" applyAlignment="1">
      <alignment horizontal="center"/>
    </xf>
    <xf numFmtId="0" fontId="40" fillId="3" borderId="0" xfId="0" applyFont="1" applyFill="1" applyAlignment="1">
      <alignment horizontal="right"/>
    </xf>
    <xf numFmtId="0" fontId="42" fillId="3" borderId="0" xfId="0" applyFont="1" applyFill="1" applyAlignment="1">
      <alignment horizontal="right"/>
    </xf>
    <xf numFmtId="0" fontId="33" fillId="0" borderId="0" xfId="0" applyFont="1" applyAlignment="1">
      <alignment horizontal="justify" vertical="top" wrapText="1"/>
    </xf>
    <xf numFmtId="49" fontId="11" fillId="0" borderId="0" xfId="0" applyNumberFormat="1" applyFont="1" applyAlignment="1">
      <alignment wrapText="1"/>
    </xf>
    <xf numFmtId="0" fontId="6" fillId="0" borderId="11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33" fillId="0" borderId="0" xfId="0" applyFont="1" applyAlignment="1" applyProtection="1">
      <alignment horizontal="center"/>
      <protection locked="0"/>
    </xf>
    <xf numFmtId="0" fontId="9" fillId="3" borderId="0" xfId="0" applyFont="1" applyFill="1"/>
    <xf numFmtId="14" fontId="48" fillId="3" borderId="0" xfId="0" applyNumberFormat="1" applyFont="1" applyFill="1"/>
    <xf numFmtId="14" fontId="48" fillId="3" borderId="8" xfId="0" applyNumberFormat="1" applyFont="1" applyFill="1" applyBorder="1"/>
    <xf numFmtId="1" fontId="31" fillId="0" borderId="3" xfId="0" applyNumberFormat="1" applyFont="1" applyBorder="1" applyProtection="1">
      <protection locked="0"/>
    </xf>
    <xf numFmtId="1" fontId="31" fillId="0" borderId="4" xfId="0" applyNumberFormat="1" applyFont="1" applyBorder="1" applyProtection="1">
      <protection locked="0"/>
    </xf>
    <xf numFmtId="1" fontId="2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horizontal="center"/>
    </xf>
    <xf numFmtId="0" fontId="23" fillId="3" borderId="1" xfId="0" applyFont="1" applyFill="1" applyBorder="1"/>
    <xf numFmtId="0" fontId="8" fillId="3" borderId="0" xfId="0" applyFont="1" applyFill="1"/>
    <xf numFmtId="0" fontId="53" fillId="3" borderId="0" xfId="0" applyFont="1" applyFill="1"/>
    <xf numFmtId="0" fontId="49" fillId="3" borderId="0" xfId="0" applyFont="1" applyFill="1"/>
    <xf numFmtId="0" fontId="49" fillId="3" borderId="0" xfId="0" applyFont="1" applyFill="1" applyAlignment="1">
      <alignment horizontal="center"/>
    </xf>
    <xf numFmtId="0" fontId="27" fillId="0" borderId="2" xfId="0" applyFont="1" applyBorder="1" applyProtection="1">
      <protection locked="0"/>
    </xf>
    <xf numFmtId="0" fontId="6" fillId="0" borderId="6" xfId="0" applyFont="1" applyBorder="1" applyProtection="1">
      <protection locked="0"/>
    </xf>
    <xf numFmtId="0" fontId="7" fillId="8" borderId="7" xfId="0" applyFont="1" applyFill="1" applyBorder="1"/>
    <xf numFmtId="0" fontId="7" fillId="8" borderId="13" xfId="0" applyFont="1" applyFill="1" applyBorder="1"/>
    <xf numFmtId="0" fontId="31" fillId="3" borderId="9" xfId="0" applyFont="1" applyFill="1" applyBorder="1"/>
    <xf numFmtId="0" fontId="26" fillId="3" borderId="6" xfId="0" applyFont="1" applyFill="1" applyBorder="1"/>
    <xf numFmtId="0" fontId="6" fillId="0" borderId="2" xfId="0" applyFont="1" applyBorder="1" applyAlignment="1" applyProtection="1">
      <alignment horizontal="center"/>
      <protection locked="0"/>
    </xf>
    <xf numFmtId="0" fontId="6" fillId="0" borderId="12" xfId="0" applyFont="1" applyBorder="1" applyAlignment="1" applyProtection="1">
      <alignment horizontal="center"/>
      <protection locked="0"/>
    </xf>
    <xf numFmtId="0" fontId="5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15" fillId="0" borderId="6" xfId="0" applyFont="1" applyBorder="1" applyAlignment="1" applyProtection="1">
      <alignment wrapText="1"/>
      <protection locked="0"/>
    </xf>
    <xf numFmtId="0" fontId="15" fillId="8" borderId="2" xfId="0" applyFont="1" applyFill="1" applyBorder="1" applyAlignment="1">
      <alignment wrapText="1"/>
    </xf>
    <xf numFmtId="0" fontId="15" fillId="8" borderId="6" xfId="0" applyFont="1" applyFill="1" applyBorder="1" applyAlignment="1">
      <alignment wrapText="1"/>
    </xf>
    <xf numFmtId="0" fontId="6" fillId="2" borderId="5" xfId="0" applyFont="1" applyFill="1" applyBorder="1"/>
    <xf numFmtId="0" fontId="7" fillId="3" borderId="2" xfId="0" applyFont="1" applyFill="1" applyBorder="1"/>
    <xf numFmtId="0" fontId="0" fillId="8" borderId="0" xfId="0" applyFill="1" applyAlignment="1">
      <alignment horizontal="left"/>
    </xf>
    <xf numFmtId="0" fontId="72" fillId="3" borderId="0" xfId="0" applyFont="1" applyFill="1" applyAlignment="1">
      <alignment horizontal="right"/>
    </xf>
    <xf numFmtId="0" fontId="82" fillId="3" borderId="0" xfId="0" applyFont="1" applyFill="1" applyAlignment="1">
      <alignment horizontal="right"/>
    </xf>
    <xf numFmtId="0" fontId="82" fillId="19" borderId="5" xfId="0" applyFont="1" applyFill="1" applyBorder="1" applyAlignment="1">
      <alignment horizontal="left"/>
    </xf>
    <xf numFmtId="0" fontId="82" fillId="19" borderId="0" xfId="0" applyFont="1" applyFill="1" applyAlignment="1">
      <alignment horizontal="right"/>
    </xf>
    <xf numFmtId="0" fontId="7" fillId="18" borderId="2" xfId="0" applyFont="1" applyFill="1" applyBorder="1" applyProtection="1">
      <protection locked="0"/>
    </xf>
    <xf numFmtId="0" fontId="3" fillId="0" borderId="0" xfId="9"/>
    <xf numFmtId="0" fontId="86" fillId="0" borderId="0" xfId="0" applyFont="1"/>
    <xf numFmtId="0" fontId="87" fillId="22" borderId="46" xfId="10" applyBorder="1"/>
    <xf numFmtId="0" fontId="87" fillId="22" borderId="0" xfId="10"/>
    <xf numFmtId="0" fontId="88" fillId="23" borderId="45" xfId="11"/>
    <xf numFmtId="0" fontId="2" fillId="9" borderId="2" xfId="6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left"/>
      <protection locked="0"/>
    </xf>
    <xf numFmtId="2" fontId="87" fillId="22" borderId="46" xfId="10" applyNumberFormat="1" applyBorder="1"/>
    <xf numFmtId="2" fontId="89" fillId="24" borderId="47" xfId="12" applyNumberFormat="1" applyBorder="1"/>
    <xf numFmtId="0" fontId="91" fillId="26" borderId="0" xfId="14"/>
    <xf numFmtId="0" fontId="90" fillId="25" borderId="0" xfId="13"/>
    <xf numFmtId="0" fontId="94" fillId="23" borderId="45" xfId="11" applyFont="1"/>
    <xf numFmtId="0" fontId="92" fillId="27" borderId="48" xfId="15"/>
    <xf numFmtId="0" fontId="93" fillId="0" borderId="0" xfId="16"/>
    <xf numFmtId="2" fontId="0" fillId="0" borderId="0" xfId="0" applyNumberFormat="1"/>
    <xf numFmtId="4" fontId="0" fillId="0" borderId="0" xfId="0" applyNumberFormat="1"/>
    <xf numFmtId="49" fontId="1" fillId="28" borderId="0" xfId="17" applyNumberFormat="1"/>
    <xf numFmtId="0" fontId="1" fillId="28" borderId="0" xfId="17"/>
    <xf numFmtId="2" fontId="74" fillId="29" borderId="46" xfId="18" applyNumberFormat="1" applyFont="1" applyBorder="1"/>
    <xf numFmtId="4" fontId="76" fillId="28" borderId="46" xfId="17" applyNumberFormat="1" applyFont="1" applyBorder="1"/>
    <xf numFmtId="2" fontId="76" fillId="28" borderId="46" xfId="17" applyNumberFormat="1" applyFont="1" applyBorder="1"/>
    <xf numFmtId="2" fontId="76" fillId="29" borderId="46" xfId="18" applyNumberFormat="1" applyFont="1" applyBorder="1"/>
    <xf numFmtId="49" fontId="76" fillId="28" borderId="46" xfId="17" applyNumberFormat="1" applyFont="1" applyBorder="1"/>
    <xf numFmtId="0" fontId="76" fillId="28" borderId="46" xfId="17" applyFont="1" applyBorder="1"/>
    <xf numFmtId="49" fontId="76" fillId="29" borderId="46" xfId="18" applyNumberFormat="1" applyFont="1" applyBorder="1"/>
    <xf numFmtId="0" fontId="74" fillId="29" borderId="46" xfId="18" applyFont="1" applyBorder="1"/>
    <xf numFmtId="49" fontId="74" fillId="29" borderId="46" xfId="18" applyNumberFormat="1" applyFont="1" applyBorder="1"/>
    <xf numFmtId="0" fontId="95" fillId="26" borderId="0" xfId="14" applyFont="1"/>
    <xf numFmtId="0" fontId="96" fillId="25" borderId="0" xfId="13" applyFont="1"/>
    <xf numFmtId="0" fontId="76" fillId="29" borderId="46" xfId="18" applyFont="1" applyBorder="1"/>
    <xf numFmtId="0" fontId="7" fillId="3" borderId="2" xfId="0" applyFont="1" applyFill="1" applyBorder="1" applyAlignment="1">
      <alignment horizontal="center"/>
    </xf>
    <xf numFmtId="0" fontId="85" fillId="21" borderId="0" xfId="8" applyFont="1" applyFill="1" applyAlignment="1">
      <alignment horizontal="center"/>
    </xf>
    <xf numFmtId="0" fontId="3" fillId="21" borderId="0" xfId="8" applyFill="1" applyAlignment="1">
      <alignment horizontal="center"/>
    </xf>
    <xf numFmtId="0" fontId="8" fillId="0" borderId="4" xfId="0" applyFont="1" applyBorder="1" applyProtection="1">
      <protection locked="0"/>
    </xf>
    <xf numFmtId="164" fontId="8" fillId="0" borderId="4" xfId="0" applyNumberFormat="1" applyFont="1" applyBorder="1" applyAlignment="1" applyProtection="1">
      <alignment horizontal="center"/>
      <protection locked="0"/>
    </xf>
    <xf numFmtId="0" fontId="24" fillId="3" borderId="0" xfId="0" applyFont="1" applyFill="1" applyAlignment="1">
      <alignment horizontal="right"/>
    </xf>
    <xf numFmtId="0" fontId="6" fillId="3" borderId="0" xfId="0" applyFont="1" applyFill="1" applyAlignment="1">
      <alignment horizontal="center"/>
    </xf>
    <xf numFmtId="0" fontId="6" fillId="3" borderId="23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1" fontId="7" fillId="3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2" fontId="24" fillId="3" borderId="10" xfId="0" applyNumberFormat="1" applyFont="1" applyFill="1" applyBorder="1" applyAlignment="1">
      <alignment horizontal="center"/>
    </xf>
    <xf numFmtId="0" fontId="24" fillId="3" borderId="10" xfId="0" applyFont="1" applyFill="1" applyBorder="1" applyAlignment="1">
      <alignment horizontal="center"/>
    </xf>
    <xf numFmtId="0" fontId="53" fillId="0" borderId="5" xfId="0" applyFont="1" applyBorder="1" applyAlignment="1">
      <alignment horizontal="center"/>
    </xf>
    <xf numFmtId="0" fontId="54" fillId="3" borderId="0" xfId="0" applyFont="1" applyFill="1" applyAlignment="1">
      <alignment horizontal="center"/>
    </xf>
    <xf numFmtId="2" fontId="0" fillId="0" borderId="0" xfId="0" applyNumberFormat="1" applyAlignment="1" applyProtection="1">
      <alignment horizontal="center"/>
      <protection locked="0"/>
    </xf>
    <xf numFmtId="0" fontId="24" fillId="3" borderId="0" xfId="0" applyFont="1" applyFill="1" applyAlignment="1">
      <alignment horizontal="center"/>
    </xf>
    <xf numFmtId="0" fontId="7" fillId="3" borderId="24" xfId="0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25" xfId="0" applyNumberFormat="1" applyBorder="1" applyAlignment="1">
      <alignment horizontal="center"/>
    </xf>
    <xf numFmtId="0" fontId="7" fillId="0" borderId="1" xfId="0" applyFont="1" applyBorder="1" applyAlignment="1" applyProtection="1">
      <alignment horizontal="center"/>
      <protection locked="0"/>
    </xf>
    <xf numFmtId="0" fontId="7" fillId="4" borderId="2" xfId="0" applyFont="1" applyFill="1" applyBorder="1" applyAlignment="1">
      <alignment horizontal="center"/>
    </xf>
    <xf numFmtId="0" fontId="8" fillId="4" borderId="9" xfId="0" applyFont="1" applyFill="1" applyBorder="1" applyAlignment="1">
      <alignment horizontal="left"/>
    </xf>
    <xf numFmtId="0" fontId="7" fillId="4" borderId="15" xfId="0" applyFont="1" applyFill="1" applyBorder="1" applyAlignment="1">
      <alignment horizontal="left"/>
    </xf>
    <xf numFmtId="0" fontId="7" fillId="4" borderId="6" xfId="0" applyFont="1" applyFill="1" applyBorder="1" applyAlignment="1">
      <alignment horizontal="left"/>
    </xf>
    <xf numFmtId="0" fontId="12" fillId="0" borderId="0" xfId="4" applyAlignment="1">
      <alignment horizontal="center"/>
      <protection locked="0"/>
    </xf>
    <xf numFmtId="44" fontId="31" fillId="0" borderId="2" xfId="1" applyFont="1" applyBorder="1" applyAlignment="1" applyProtection="1">
      <alignment horizontal="center"/>
      <protection locked="0"/>
    </xf>
    <xf numFmtId="0" fontId="25" fillId="3" borderId="0" xfId="0" applyFont="1" applyFill="1" applyAlignment="1">
      <alignment horizontal="center"/>
    </xf>
    <xf numFmtId="0" fontId="7" fillId="3" borderId="9" xfId="0" applyFont="1" applyFill="1" applyBorder="1" applyAlignment="1">
      <alignment horizontal="center" wrapText="1"/>
    </xf>
    <xf numFmtId="0" fontId="7" fillId="3" borderId="15" xfId="0" applyFont="1" applyFill="1" applyBorder="1" applyAlignment="1">
      <alignment horizontal="center" wrapText="1"/>
    </xf>
    <xf numFmtId="0" fontId="7" fillId="3" borderId="6" xfId="0" applyFont="1" applyFill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7" fillId="3" borderId="18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44" fontId="8" fillId="0" borderId="22" xfId="1" applyFont="1" applyBorder="1" applyAlignment="1">
      <alignment horizontal="center"/>
    </xf>
    <xf numFmtId="0" fontId="50" fillId="3" borderId="0" xfId="0" applyFont="1" applyFill="1" applyAlignment="1">
      <alignment horizontal="right"/>
    </xf>
    <xf numFmtId="169" fontId="6" fillId="0" borderId="9" xfId="0" applyNumberFormat="1" applyFont="1" applyBorder="1" applyAlignment="1" applyProtection="1">
      <alignment horizontal="left"/>
      <protection locked="0"/>
    </xf>
    <xf numFmtId="169" fontId="6" fillId="0" borderId="6" xfId="0" applyNumberFormat="1" applyFont="1" applyBorder="1" applyAlignment="1" applyProtection="1">
      <alignment horizontal="left"/>
      <protection locked="0"/>
    </xf>
    <xf numFmtId="0" fontId="7" fillId="7" borderId="0" xfId="0" applyFont="1" applyFill="1" applyAlignment="1">
      <alignment horizontal="center"/>
    </xf>
    <xf numFmtId="170" fontId="7" fillId="0" borderId="4" xfId="0" applyNumberFormat="1" applyFont="1" applyBorder="1" applyAlignment="1" applyProtection="1">
      <alignment horizontal="center"/>
      <protection locked="0"/>
    </xf>
    <xf numFmtId="0" fontId="6" fillId="0" borderId="9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8" fillId="0" borderId="4" xfId="0" applyFont="1" applyBorder="1" applyAlignment="1" applyProtection="1">
      <alignment horizontal="left"/>
      <protection locked="0"/>
    </xf>
    <xf numFmtId="0" fontId="11" fillId="3" borderId="42" xfId="0" applyFont="1" applyFill="1" applyBorder="1" applyAlignment="1">
      <alignment horizontal="center" wrapText="1"/>
    </xf>
    <xf numFmtId="0" fontId="11" fillId="3" borderId="43" xfId="0" applyFont="1" applyFill="1" applyBorder="1" applyAlignment="1">
      <alignment horizontal="center" wrapText="1"/>
    </xf>
    <xf numFmtId="0" fontId="11" fillId="3" borderId="44" xfId="0" applyFont="1" applyFill="1" applyBorder="1" applyAlignment="1">
      <alignment horizontal="center" wrapText="1"/>
    </xf>
    <xf numFmtId="0" fontId="15" fillId="0" borderId="9" xfId="0" applyFont="1" applyBorder="1" applyAlignment="1" applyProtection="1">
      <alignment horizontal="center" wrapText="1"/>
      <protection locked="0"/>
    </xf>
    <xf numFmtId="0" fontId="15" fillId="0" borderId="6" xfId="0" applyFont="1" applyBorder="1" applyAlignment="1" applyProtection="1">
      <alignment horizontal="center" wrapText="1"/>
      <protection locked="0"/>
    </xf>
    <xf numFmtId="0" fontId="6" fillId="3" borderId="5" xfId="0" applyFont="1" applyFill="1" applyBorder="1" applyAlignment="1">
      <alignment horizontal="center"/>
    </xf>
    <xf numFmtId="10" fontId="24" fillId="3" borderId="0" xfId="7" applyNumberFormat="1" applyFont="1" applyFill="1" applyAlignment="1">
      <alignment horizontal="center"/>
    </xf>
    <xf numFmtId="0" fontId="21" fillId="3" borderId="0" xfId="0" applyFont="1" applyFill="1" applyAlignment="1">
      <alignment horizontal="center" wrapText="1"/>
    </xf>
    <xf numFmtId="0" fontId="7" fillId="0" borderId="15" xfId="0" applyFont="1" applyBorder="1" applyAlignment="1">
      <alignment horizontal="center"/>
    </xf>
    <xf numFmtId="2" fontId="0" fillId="0" borderId="8" xfId="0" applyNumberFormat="1" applyBorder="1" applyAlignment="1" applyProtection="1">
      <alignment horizontal="center"/>
      <protection locked="0"/>
    </xf>
    <xf numFmtId="0" fontId="19" fillId="7" borderId="0" xfId="0" applyFont="1" applyFill="1" applyAlignment="1">
      <alignment horizontal="center" wrapText="1"/>
    </xf>
    <xf numFmtId="1" fontId="0" fillId="3" borderId="0" xfId="0" applyNumberFormat="1" applyFill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19" fillId="3" borderId="0" xfId="0" applyFont="1" applyFill="1" applyAlignment="1">
      <alignment horizontal="center" wrapText="1"/>
    </xf>
    <xf numFmtId="0" fontId="7" fillId="0" borderId="26" xfId="0" applyFont="1" applyBorder="1" applyAlignment="1" applyProtection="1">
      <alignment horizontal="center"/>
      <protection locked="0"/>
    </xf>
    <xf numFmtId="0" fontId="51" fillId="0" borderId="9" xfId="0" applyFont="1" applyBorder="1" applyAlignment="1">
      <alignment horizontal="center" wrapText="1"/>
    </xf>
    <xf numFmtId="0" fontId="15" fillId="0" borderId="15" xfId="0" applyFont="1" applyBorder="1" applyAlignment="1">
      <alignment horizontal="center" wrapText="1"/>
    </xf>
    <xf numFmtId="0" fontId="8" fillId="3" borderId="0" xfId="0" applyFont="1" applyFill="1" applyAlignment="1">
      <alignment horizontal="center"/>
    </xf>
    <xf numFmtId="0" fontId="7" fillId="7" borderId="7" xfId="0" applyFont="1" applyFill="1" applyBorder="1" applyAlignment="1">
      <alignment horizontal="left" wrapText="1"/>
    </xf>
    <xf numFmtId="0" fontId="10" fillId="3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/>
    </xf>
    <xf numFmtId="2" fontId="17" fillId="0" borderId="1" xfId="0" applyNumberFormat="1" applyFont="1" applyBorder="1" applyAlignment="1" applyProtection="1">
      <alignment horizontal="center"/>
      <protection locked="0"/>
    </xf>
    <xf numFmtId="2" fontId="7" fillId="3" borderId="1" xfId="0" applyNumberFormat="1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24" xfId="0" applyFont="1" applyBorder="1" applyAlignment="1">
      <alignment horizontal="center"/>
    </xf>
    <xf numFmtId="0" fontId="21" fillId="3" borderId="0" xfId="0" applyFont="1" applyFill="1" applyAlignment="1">
      <alignment horizontal="center"/>
    </xf>
    <xf numFmtId="0" fontId="10" fillId="3" borderId="27" xfId="0" applyFont="1" applyFill="1" applyBorder="1" applyAlignment="1">
      <alignment horizontal="center" vertical="top" wrapText="1"/>
    </xf>
    <xf numFmtId="0" fontId="17" fillId="3" borderId="28" xfId="0" applyFont="1" applyFill="1" applyBorder="1" applyAlignment="1">
      <alignment horizontal="center" vertical="top" wrapText="1"/>
    </xf>
    <xf numFmtId="0" fontId="17" fillId="3" borderId="29" xfId="0" applyFont="1" applyFill="1" applyBorder="1" applyAlignment="1">
      <alignment horizontal="center" vertical="top" wrapText="1"/>
    </xf>
    <xf numFmtId="0" fontId="17" fillId="3" borderId="24" xfId="0" applyFont="1" applyFill="1" applyBorder="1" applyAlignment="1">
      <alignment horizontal="center" vertical="top" wrapText="1"/>
    </xf>
    <xf numFmtId="0" fontId="23" fillId="3" borderId="1" xfId="0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4" fontId="17" fillId="0" borderId="1" xfId="0" applyNumberFormat="1" applyFont="1" applyBorder="1" applyAlignment="1" applyProtection="1">
      <alignment horizontal="center"/>
      <protection locked="0"/>
    </xf>
    <xf numFmtId="0" fontId="9" fillId="3" borderId="0" xfId="0" applyFont="1" applyFill="1" applyAlignment="1">
      <alignment horizontal="center"/>
    </xf>
    <xf numFmtId="166" fontId="7" fillId="0" borderId="1" xfId="0" applyNumberFormat="1" applyFont="1" applyBorder="1" applyAlignment="1" applyProtection="1">
      <alignment horizontal="center"/>
      <protection locked="0"/>
    </xf>
    <xf numFmtId="0" fontId="7" fillId="0" borderId="3" xfId="0" applyFont="1" applyBorder="1" applyAlignment="1" applyProtection="1">
      <alignment horizontal="center"/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35" xfId="0" applyFont="1" applyBorder="1" applyAlignment="1" applyProtection="1">
      <alignment horizontal="center"/>
      <protection locked="0"/>
    </xf>
    <xf numFmtId="0" fontId="20" fillId="3" borderId="0" xfId="0" applyFont="1" applyFill="1" applyAlignment="1">
      <alignment horizontal="center"/>
    </xf>
    <xf numFmtId="4" fontId="17" fillId="0" borderId="1" xfId="0" applyNumberFormat="1" applyFont="1" applyBorder="1" applyAlignment="1">
      <alignment horizontal="center"/>
    </xf>
    <xf numFmtId="0" fontId="20" fillId="3" borderId="24" xfId="0" applyFont="1" applyFill="1" applyBorder="1" applyAlignment="1">
      <alignment horizontal="center"/>
    </xf>
    <xf numFmtId="0" fontId="19" fillId="3" borderId="0" xfId="0" applyFont="1" applyFill="1" applyAlignment="1">
      <alignment horizontal="center"/>
    </xf>
    <xf numFmtId="1" fontId="7" fillId="6" borderId="3" xfId="0" applyNumberFormat="1" applyFont="1" applyFill="1" applyBorder="1" applyAlignment="1" applyProtection="1">
      <alignment horizontal="center"/>
      <protection locked="0"/>
    </xf>
    <xf numFmtId="1" fontId="7" fillId="6" borderId="4" xfId="0" applyNumberFormat="1" applyFont="1" applyFill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 wrapText="1"/>
      <protection locked="0"/>
    </xf>
    <xf numFmtId="0" fontId="10" fillId="3" borderId="0" xfId="0" applyFont="1" applyFill="1" applyAlignment="1">
      <alignment horizontal="center" wrapText="1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35" xfId="0" applyBorder="1" applyAlignment="1" applyProtection="1">
      <alignment horizontal="center"/>
      <protection locked="0"/>
    </xf>
    <xf numFmtId="0" fontId="65" fillId="3" borderId="0" xfId="0" applyFont="1" applyFill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9" fillId="3" borderId="24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 wrapText="1"/>
    </xf>
    <xf numFmtId="0" fontId="7" fillId="3" borderId="31" xfId="0" applyFont="1" applyFill="1" applyBorder="1" applyAlignment="1">
      <alignment horizontal="center" wrapText="1"/>
    </xf>
    <xf numFmtId="1" fontId="26" fillId="3" borderId="32" xfId="0" applyNumberFormat="1" applyFont="1" applyFill="1" applyBorder="1" applyAlignment="1">
      <alignment horizontal="center"/>
    </xf>
    <xf numFmtId="0" fontId="26" fillId="3" borderId="33" xfId="0" applyFont="1" applyFill="1" applyBorder="1" applyAlignment="1">
      <alignment horizontal="center"/>
    </xf>
    <xf numFmtId="170" fontId="31" fillId="0" borderId="4" xfId="0" applyNumberFormat="1" applyFont="1" applyBorder="1" applyAlignment="1" applyProtection="1">
      <alignment horizontal="center"/>
      <protection locked="0"/>
    </xf>
    <xf numFmtId="170" fontId="31" fillId="0" borderId="26" xfId="0" applyNumberFormat="1" applyFont="1" applyBorder="1" applyAlignment="1" applyProtection="1">
      <alignment horizontal="center"/>
      <protection locked="0"/>
    </xf>
    <xf numFmtId="170" fontId="31" fillId="0" borderId="34" xfId="0" applyNumberFormat="1" applyFont="1" applyBorder="1" applyAlignment="1" applyProtection="1">
      <alignment horizontal="center"/>
      <protection locked="0"/>
    </xf>
    <xf numFmtId="0" fontId="7" fillId="0" borderId="25" xfId="0" applyFont="1" applyBorder="1" applyAlignment="1" applyProtection="1">
      <alignment horizontal="center"/>
      <protection locked="0"/>
    </xf>
    <xf numFmtId="0" fontId="12" fillId="0" borderId="1" xfId="4" applyBorder="1" applyAlignment="1">
      <alignment horizontal="center" wrapText="1"/>
      <protection locked="0"/>
    </xf>
    <xf numFmtId="167" fontId="7" fillId="0" borderId="1" xfId="0" applyNumberFormat="1" applyFont="1" applyBorder="1" applyAlignment="1" applyProtection="1">
      <alignment horizontal="center"/>
      <protection locked="0"/>
    </xf>
    <xf numFmtId="1" fontId="7" fillId="0" borderId="3" xfId="0" applyNumberFormat="1" applyFont="1" applyBorder="1" applyAlignment="1" applyProtection="1">
      <alignment horizontal="center"/>
      <protection locked="0"/>
    </xf>
    <xf numFmtId="1" fontId="7" fillId="0" borderId="4" xfId="0" applyNumberFormat="1" applyFont="1" applyBorder="1" applyAlignment="1" applyProtection="1">
      <alignment horizontal="center"/>
      <protection locked="0"/>
    </xf>
    <xf numFmtId="1" fontId="31" fillId="0" borderId="3" xfId="0" applyNumberFormat="1" applyFont="1" applyBorder="1" applyAlignment="1" applyProtection="1">
      <alignment horizontal="center"/>
      <protection locked="0"/>
    </xf>
    <xf numFmtId="1" fontId="31" fillId="0" borderId="4" xfId="0" applyNumberFormat="1" applyFont="1" applyBorder="1" applyAlignment="1" applyProtection="1">
      <alignment horizontal="center"/>
      <protection locked="0"/>
    </xf>
    <xf numFmtId="1" fontId="31" fillId="0" borderId="35" xfId="0" applyNumberFormat="1" applyFont="1" applyBorder="1" applyAlignment="1" applyProtection="1">
      <alignment horizontal="center"/>
      <protection locked="0"/>
    </xf>
    <xf numFmtId="0" fontId="7" fillId="0" borderId="3" xfId="0" applyFont="1" applyBorder="1" applyAlignment="1" applyProtection="1">
      <alignment horizontal="center" wrapText="1"/>
      <protection locked="0"/>
    </xf>
    <xf numFmtId="0" fontId="7" fillId="0" borderId="4" xfId="0" applyFont="1" applyBorder="1" applyAlignment="1" applyProtection="1">
      <alignment horizontal="center" wrapText="1"/>
      <protection locked="0"/>
    </xf>
    <xf numFmtId="0" fontId="7" fillId="0" borderId="35" xfId="0" applyFont="1" applyBorder="1" applyAlignment="1" applyProtection="1">
      <alignment horizontal="center" wrapText="1"/>
      <protection locked="0"/>
    </xf>
    <xf numFmtId="170" fontId="7" fillId="0" borderId="1" xfId="0" applyNumberFormat="1" applyFont="1" applyBorder="1" applyAlignment="1" applyProtection="1">
      <alignment horizontal="center"/>
      <protection locked="0"/>
    </xf>
    <xf numFmtId="170" fontId="7" fillId="0" borderId="35" xfId="0" applyNumberFormat="1" applyFont="1" applyBorder="1" applyAlignment="1" applyProtection="1">
      <alignment horizontal="center"/>
      <protection locked="0"/>
    </xf>
    <xf numFmtId="170" fontId="7" fillId="0" borderId="3" xfId="0" applyNumberFormat="1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167" fontId="7" fillId="0" borderId="3" xfId="0" applyNumberFormat="1" applyFont="1" applyBorder="1" applyAlignment="1" applyProtection="1">
      <alignment horizontal="center"/>
      <protection locked="0"/>
    </xf>
    <xf numFmtId="167" fontId="7" fillId="0" borderId="35" xfId="0" applyNumberFormat="1" applyFont="1" applyBorder="1" applyAlignment="1" applyProtection="1">
      <alignment horizontal="center"/>
      <protection locked="0"/>
    </xf>
    <xf numFmtId="4" fontId="7" fillId="3" borderId="1" xfId="0" applyNumberFormat="1" applyFont="1" applyFill="1" applyBorder="1" applyAlignment="1">
      <alignment horizontal="center"/>
    </xf>
    <xf numFmtId="2" fontId="17" fillId="0" borderId="1" xfId="0" applyNumberFormat="1" applyFont="1" applyBorder="1" applyAlignment="1">
      <alignment horizontal="center"/>
    </xf>
    <xf numFmtId="165" fontId="6" fillId="17" borderId="2" xfId="7" applyNumberFormat="1" applyFont="1" applyFill="1" applyBorder="1" applyAlignment="1">
      <alignment horizontal="center"/>
    </xf>
    <xf numFmtId="0" fontId="7" fillId="3" borderId="1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7" fillId="3" borderId="13" xfId="0" applyFont="1" applyFill="1" applyBorder="1" applyAlignment="1">
      <alignment horizontal="center"/>
    </xf>
    <xf numFmtId="170" fontId="31" fillId="0" borderId="35" xfId="0" applyNumberFormat="1" applyFont="1" applyBorder="1" applyAlignment="1" applyProtection="1">
      <alignment horizontal="center"/>
      <protection locked="0"/>
    </xf>
    <xf numFmtId="0" fontId="6" fillId="0" borderId="16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11" xfId="0" applyFont="1" applyBorder="1" applyAlignment="1" applyProtection="1">
      <alignment horizontal="center"/>
      <protection locked="0"/>
    </xf>
    <xf numFmtId="0" fontId="23" fillId="0" borderId="15" xfId="0" applyFont="1" applyBorder="1" applyAlignment="1" applyProtection="1">
      <alignment horizontal="left"/>
      <protection locked="0"/>
    </xf>
    <xf numFmtId="0" fontId="23" fillId="0" borderId="6" xfId="0" applyFont="1" applyBorder="1" applyAlignment="1" applyProtection="1">
      <alignment horizontal="left"/>
      <protection locked="0"/>
    </xf>
    <xf numFmtId="0" fontId="7" fillId="3" borderId="2" xfId="0" applyFont="1" applyFill="1" applyBorder="1" applyAlignment="1">
      <alignment horizontal="center"/>
    </xf>
    <xf numFmtId="0" fontId="6" fillId="3" borderId="15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23" fillId="3" borderId="15" xfId="0" applyFont="1" applyFill="1" applyBorder="1" applyAlignment="1">
      <alignment horizontal="center"/>
    </xf>
    <xf numFmtId="0" fontId="32" fillId="3" borderId="9" xfId="0" applyFont="1" applyFill="1" applyBorder="1" applyAlignment="1">
      <alignment horizontal="center"/>
    </xf>
    <xf numFmtId="0" fontId="32" fillId="3" borderId="15" xfId="0" applyFont="1" applyFill="1" applyBorder="1" applyAlignment="1">
      <alignment horizontal="center"/>
    </xf>
    <xf numFmtId="0" fontId="32" fillId="3" borderId="6" xfId="0" applyFont="1" applyFill="1" applyBorder="1" applyAlignment="1">
      <alignment horizontal="center"/>
    </xf>
    <xf numFmtId="0" fontId="11" fillId="0" borderId="19" xfId="0" applyFont="1" applyBorder="1" applyAlignment="1" applyProtection="1">
      <alignment horizontal="center" wrapText="1"/>
      <protection locked="0"/>
    </xf>
    <xf numFmtId="0" fontId="11" fillId="0" borderId="7" xfId="0" applyFont="1" applyBorder="1" applyAlignment="1" applyProtection="1">
      <alignment horizontal="center" wrapText="1"/>
      <protection locked="0"/>
    </xf>
    <xf numFmtId="0" fontId="11" fillId="0" borderId="13" xfId="0" applyFont="1" applyBorder="1" applyAlignment="1" applyProtection="1">
      <alignment horizontal="center" wrapText="1"/>
      <protection locked="0"/>
    </xf>
    <xf numFmtId="0" fontId="11" fillId="0" borderId="18" xfId="0" applyFont="1" applyBorder="1" applyAlignment="1" applyProtection="1">
      <alignment horizontal="center" wrapText="1"/>
      <protection locked="0"/>
    </xf>
    <xf numFmtId="0" fontId="11" fillId="0" borderId="0" xfId="0" applyFont="1" applyAlignment="1" applyProtection="1">
      <alignment horizontal="center" wrapText="1"/>
      <protection locked="0"/>
    </xf>
    <xf numFmtId="0" fontId="11" fillId="0" borderId="17" xfId="0" applyFont="1" applyBorder="1" applyAlignment="1" applyProtection="1">
      <alignment horizontal="center" wrapText="1"/>
      <protection locked="0"/>
    </xf>
    <xf numFmtId="0" fontId="11" fillId="0" borderId="16" xfId="0" applyFont="1" applyBorder="1" applyAlignment="1" applyProtection="1">
      <alignment horizontal="center" wrapText="1"/>
      <protection locked="0"/>
    </xf>
    <xf numFmtId="0" fontId="11" fillId="0" borderId="5" xfId="0" applyFont="1" applyBorder="1" applyAlignment="1" applyProtection="1">
      <alignment horizontal="center" wrapText="1"/>
      <protection locked="0"/>
    </xf>
    <xf numFmtId="0" fontId="11" fillId="0" borderId="11" xfId="0" applyFont="1" applyBorder="1" applyAlignment="1" applyProtection="1">
      <alignment horizontal="center" wrapText="1"/>
      <protection locked="0"/>
    </xf>
    <xf numFmtId="0" fontId="15" fillId="8" borderId="9" xfId="0" applyFont="1" applyFill="1" applyBorder="1" applyAlignment="1">
      <alignment horizontal="center" wrapText="1"/>
    </xf>
    <xf numFmtId="0" fontId="15" fillId="8" borderId="6" xfId="0" applyFont="1" applyFill="1" applyBorder="1" applyAlignment="1">
      <alignment horizontal="center" wrapText="1"/>
    </xf>
    <xf numFmtId="2" fontId="15" fillId="8" borderId="15" xfId="0" applyNumberFormat="1" applyFont="1" applyFill="1" applyBorder="1" applyAlignment="1">
      <alignment horizontal="center" wrapText="1"/>
    </xf>
    <xf numFmtId="2" fontId="15" fillId="0" borderId="9" xfId="0" applyNumberFormat="1" applyFont="1" applyBorder="1" applyAlignment="1" applyProtection="1">
      <alignment horizontal="center" wrapText="1"/>
      <protection locked="0"/>
    </xf>
    <xf numFmtId="2" fontId="15" fillId="0" borderId="15" xfId="0" applyNumberFormat="1" applyFont="1" applyBorder="1" applyAlignment="1" applyProtection="1">
      <alignment horizontal="center" wrapText="1"/>
      <protection locked="0"/>
    </xf>
    <xf numFmtId="0" fontId="15" fillId="0" borderId="15" xfId="0" applyFont="1" applyBorder="1" applyAlignment="1" applyProtection="1">
      <alignment horizontal="center" wrapText="1"/>
      <protection locked="0"/>
    </xf>
    <xf numFmtId="0" fontId="6" fillId="3" borderId="15" xfId="0" applyFont="1" applyFill="1" applyBorder="1" applyAlignment="1" applyProtection="1">
      <alignment horizontal="center"/>
      <protection locked="0"/>
    </xf>
    <xf numFmtId="0" fontId="26" fillId="3" borderId="9" xfId="0" applyFont="1" applyFill="1" applyBorder="1" applyAlignment="1">
      <alignment horizontal="center"/>
    </xf>
    <xf numFmtId="0" fontId="26" fillId="3" borderId="15" xfId="0" applyFont="1" applyFill="1" applyBorder="1" applyAlignment="1">
      <alignment horizontal="center"/>
    </xf>
    <xf numFmtId="0" fontId="30" fillId="3" borderId="15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0" fillId="3" borderId="0" xfId="0" applyFill="1" applyAlignment="1">
      <alignment horizontal="right"/>
    </xf>
    <xf numFmtId="0" fontId="0" fillId="3" borderId="17" xfId="0" applyFill="1" applyBorder="1" applyAlignment="1">
      <alignment horizontal="right"/>
    </xf>
    <xf numFmtId="0" fontId="0" fillId="3" borderId="18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6" fillId="3" borderId="40" xfId="0" applyFont="1" applyFill="1" applyBorder="1" applyAlignment="1">
      <alignment horizontal="center"/>
    </xf>
    <xf numFmtId="0" fontId="6" fillId="3" borderId="41" xfId="0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/>
    </xf>
    <xf numFmtId="2" fontId="15" fillId="8" borderId="9" xfId="0" applyNumberFormat="1" applyFont="1" applyFill="1" applyBorder="1" applyAlignment="1">
      <alignment horizontal="center" wrapText="1"/>
    </xf>
    <xf numFmtId="2" fontId="15" fillId="8" borderId="6" xfId="0" applyNumberFormat="1" applyFont="1" applyFill="1" applyBorder="1" applyAlignment="1">
      <alignment horizontal="center" wrapText="1"/>
    </xf>
    <xf numFmtId="0" fontId="6" fillId="0" borderId="9" xfId="0" applyFont="1" applyBorder="1" applyAlignment="1" applyProtection="1">
      <alignment horizontal="center" wrapText="1"/>
      <protection locked="0"/>
    </xf>
    <xf numFmtId="0" fontId="6" fillId="0" borderId="15" xfId="0" applyFont="1" applyBorder="1" applyAlignment="1" applyProtection="1">
      <alignment horizontal="center" wrapText="1"/>
      <protection locked="0"/>
    </xf>
    <xf numFmtId="0" fontId="6" fillId="0" borderId="6" xfId="0" applyFont="1" applyBorder="1" applyAlignment="1" applyProtection="1">
      <alignment horizontal="center" wrapText="1"/>
      <protection locked="0"/>
    </xf>
    <xf numFmtId="0" fontId="52" fillId="0" borderId="9" xfId="0" applyFont="1" applyBorder="1" applyAlignment="1">
      <alignment horizontal="center" wrapText="1"/>
    </xf>
    <xf numFmtId="0" fontId="52" fillId="0" borderId="15" xfId="0" applyFont="1" applyBorder="1" applyAlignment="1">
      <alignment horizontal="center" wrapText="1"/>
    </xf>
    <xf numFmtId="0" fontId="52" fillId="0" borderId="6" xfId="0" applyFont="1" applyBorder="1" applyAlignment="1">
      <alignment horizontal="center" wrapText="1"/>
    </xf>
    <xf numFmtId="44" fontId="23" fillId="0" borderId="16" xfId="1" applyFont="1" applyBorder="1" applyAlignment="1" applyProtection="1">
      <alignment horizontal="center"/>
      <protection locked="0"/>
    </xf>
    <xf numFmtId="44" fontId="23" fillId="0" borderId="5" xfId="1" applyFont="1" applyBorder="1" applyAlignment="1" applyProtection="1">
      <alignment horizontal="center"/>
      <protection locked="0"/>
    </xf>
    <xf numFmtId="44" fontId="23" fillId="0" borderId="11" xfId="1" applyFont="1" applyBorder="1" applyAlignment="1" applyProtection="1">
      <alignment horizontal="center"/>
      <protection locked="0"/>
    </xf>
    <xf numFmtId="0" fontId="7" fillId="3" borderId="12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/>
    </xf>
    <xf numFmtId="0" fontId="7" fillId="8" borderId="6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37" xfId="0" applyFont="1" applyFill="1" applyBorder="1" applyAlignment="1">
      <alignment horizontal="center"/>
    </xf>
    <xf numFmtId="44" fontId="7" fillId="0" borderId="15" xfId="1" applyFont="1" applyBorder="1" applyAlignment="1" applyProtection="1">
      <alignment horizontal="center"/>
      <protection locked="0"/>
    </xf>
    <xf numFmtId="44" fontId="7" fillId="0" borderId="6" xfId="1" applyFont="1" applyBorder="1" applyAlignment="1" applyProtection="1">
      <alignment horizontal="center"/>
      <protection locked="0"/>
    </xf>
    <xf numFmtId="0" fontId="28" fillId="3" borderId="2" xfId="0" applyFont="1" applyFill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6" fillId="3" borderId="19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8" fillId="0" borderId="19" xfId="0" applyFont="1" applyBorder="1" applyAlignment="1" applyProtection="1">
      <alignment horizontal="center" wrapText="1"/>
      <protection locked="0"/>
    </xf>
    <xf numFmtId="0" fontId="8" fillId="0" borderId="7" xfId="0" applyFont="1" applyBorder="1" applyAlignment="1" applyProtection="1">
      <alignment horizontal="center" wrapText="1"/>
      <protection locked="0"/>
    </xf>
    <xf numFmtId="0" fontId="8" fillId="0" borderId="13" xfId="0" applyFont="1" applyBorder="1" applyAlignment="1" applyProtection="1">
      <alignment horizontal="center" wrapText="1"/>
      <protection locked="0"/>
    </xf>
    <xf numFmtId="0" fontId="8" fillId="0" borderId="18" xfId="0" applyFont="1" applyBorder="1" applyAlignment="1" applyProtection="1">
      <alignment horizontal="center" wrapText="1"/>
      <protection locked="0"/>
    </xf>
    <xf numFmtId="0" fontId="8" fillId="0" borderId="0" xfId="0" applyFont="1" applyAlignment="1" applyProtection="1">
      <alignment horizontal="center" wrapText="1"/>
      <protection locked="0"/>
    </xf>
    <xf numFmtId="0" fontId="8" fillId="0" borderId="17" xfId="0" applyFont="1" applyBorder="1" applyAlignment="1" applyProtection="1">
      <alignment horizontal="center" wrapText="1"/>
      <protection locked="0"/>
    </xf>
    <xf numFmtId="0" fontId="8" fillId="0" borderId="38" xfId="0" applyFont="1" applyBorder="1" applyAlignment="1" applyProtection="1">
      <alignment horizontal="center" wrapText="1"/>
      <protection locked="0"/>
    </xf>
    <xf numFmtId="0" fontId="8" fillId="0" borderId="26" xfId="0" applyFont="1" applyBorder="1" applyAlignment="1" applyProtection="1">
      <alignment horizontal="center" wrapText="1"/>
      <protection locked="0"/>
    </xf>
    <xf numFmtId="0" fontId="8" fillId="0" borderId="39" xfId="0" applyFont="1" applyBorder="1" applyAlignment="1" applyProtection="1">
      <alignment horizontal="center" wrapText="1"/>
      <protection locked="0"/>
    </xf>
    <xf numFmtId="0" fontId="7" fillId="0" borderId="18" xfId="0" applyFont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6" fillId="0" borderId="2" xfId="0" applyFont="1" applyBorder="1" applyAlignment="1" applyProtection="1">
      <alignment horizontal="center"/>
      <protection locked="0"/>
    </xf>
    <xf numFmtId="0" fontId="7" fillId="0" borderId="15" xfId="0" applyFont="1" applyBorder="1" applyAlignment="1" applyProtection="1">
      <alignment horizontal="center"/>
      <protection locked="0"/>
    </xf>
    <xf numFmtId="0" fontId="7" fillId="0" borderId="6" xfId="0" applyFont="1" applyBorder="1" applyAlignment="1" applyProtection="1">
      <alignment horizontal="center"/>
      <protection locked="0"/>
    </xf>
    <xf numFmtId="0" fontId="6" fillId="0" borderId="16" xfId="0" applyFont="1" applyBorder="1" applyAlignment="1" applyProtection="1">
      <alignment horizontal="center" wrapText="1"/>
      <protection locked="0"/>
    </xf>
    <xf numFmtId="0" fontId="6" fillId="0" borderId="5" xfId="0" applyFont="1" applyBorder="1" applyAlignment="1" applyProtection="1">
      <alignment horizontal="center" wrapText="1"/>
      <protection locked="0"/>
    </xf>
    <xf numFmtId="0" fontId="6" fillId="0" borderId="11" xfId="0" applyFont="1" applyBorder="1" applyAlignment="1" applyProtection="1">
      <alignment horizontal="center" wrapText="1"/>
      <protection locked="0"/>
    </xf>
    <xf numFmtId="0" fontId="41" fillId="8" borderId="9" xfId="0" applyFont="1" applyFill="1" applyBorder="1" applyAlignment="1">
      <alignment horizontal="center" wrapText="1"/>
    </xf>
    <xf numFmtId="0" fontId="41" fillId="8" borderId="15" xfId="0" applyFont="1" applyFill="1" applyBorder="1" applyAlignment="1">
      <alignment horizontal="center" wrapText="1"/>
    </xf>
    <xf numFmtId="0" fontId="41" fillId="8" borderId="6" xfId="0" applyFont="1" applyFill="1" applyBorder="1" applyAlignment="1">
      <alignment horizontal="center" wrapText="1"/>
    </xf>
    <xf numFmtId="0" fontId="6" fillId="0" borderId="9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6" xfId="0" applyFont="1" applyBorder="1" applyAlignment="1" applyProtection="1">
      <alignment horizontal="center"/>
      <protection locked="0"/>
    </xf>
    <xf numFmtId="169" fontId="27" fillId="0" borderId="15" xfId="0" applyNumberFormat="1" applyFont="1" applyBorder="1" applyAlignment="1" applyProtection="1">
      <alignment horizontal="center"/>
      <protection locked="0"/>
    </xf>
    <xf numFmtId="169" fontId="27" fillId="0" borderId="6" xfId="0" applyNumberFormat="1" applyFont="1" applyBorder="1" applyAlignment="1" applyProtection="1">
      <alignment horizontal="center"/>
      <protection locked="0"/>
    </xf>
    <xf numFmtId="0" fontId="7" fillId="7" borderId="7" xfId="0" applyFont="1" applyFill="1" applyBorder="1" applyAlignment="1">
      <alignment horizontal="center"/>
    </xf>
    <xf numFmtId="10" fontId="26" fillId="3" borderId="16" xfId="7" applyNumberFormat="1" applyFont="1" applyFill="1" applyBorder="1" applyAlignment="1">
      <alignment horizontal="center"/>
    </xf>
    <xf numFmtId="10" fontId="26" fillId="3" borderId="5" xfId="7" applyNumberFormat="1" applyFont="1" applyFill="1" applyBorder="1" applyAlignment="1">
      <alignment horizontal="center"/>
    </xf>
    <xf numFmtId="10" fontId="26" fillId="3" borderId="11" xfId="7" applyNumberFormat="1" applyFont="1" applyFill="1" applyBorder="1" applyAlignment="1">
      <alignment horizontal="center"/>
    </xf>
    <xf numFmtId="169" fontId="27" fillId="0" borderId="0" xfId="0" applyNumberFormat="1" applyFont="1" applyAlignment="1" applyProtection="1">
      <alignment horizontal="center"/>
      <protection locked="0"/>
    </xf>
    <xf numFmtId="165" fontId="6" fillId="17" borderId="16" xfId="1" applyNumberFormat="1" applyFont="1" applyFill="1" applyBorder="1" applyAlignment="1" applyProtection="1">
      <alignment horizontal="center"/>
      <protection locked="0"/>
    </xf>
    <xf numFmtId="165" fontId="6" fillId="17" borderId="5" xfId="1" applyNumberFormat="1" applyFont="1" applyFill="1" applyBorder="1" applyAlignment="1" applyProtection="1">
      <alignment horizontal="center"/>
      <protection locked="0"/>
    </xf>
    <xf numFmtId="165" fontId="6" fillId="17" borderId="11" xfId="1" applyNumberFormat="1" applyFont="1" applyFill="1" applyBorder="1" applyAlignment="1" applyProtection="1">
      <alignment horizontal="center"/>
      <protection locked="0"/>
    </xf>
    <xf numFmtId="0" fontId="6" fillId="0" borderId="2" xfId="0" applyFont="1" applyBorder="1" applyAlignment="1">
      <alignment horizontal="center" wrapText="1"/>
    </xf>
    <xf numFmtId="44" fontId="26" fillId="0" borderId="2" xfId="1" applyFont="1" applyBorder="1" applyAlignment="1">
      <alignment horizontal="center"/>
    </xf>
    <xf numFmtId="0" fontId="26" fillId="0" borderId="0" xfId="0" applyFont="1" applyAlignment="1" applyProtection="1">
      <alignment horizontal="center"/>
      <protection locked="0"/>
    </xf>
    <xf numFmtId="0" fontId="26" fillId="0" borderId="5" xfId="0" applyFont="1" applyBorder="1" applyAlignment="1" applyProtection="1">
      <alignment horizontal="center"/>
      <protection locked="0"/>
    </xf>
    <xf numFmtId="0" fontId="17" fillId="3" borderId="19" xfId="0" applyFont="1" applyFill="1" applyBorder="1" applyAlignment="1">
      <alignment horizontal="center"/>
    </xf>
    <xf numFmtId="0" fontId="17" fillId="3" borderId="7" xfId="0" applyFont="1" applyFill="1" applyBorder="1" applyAlignment="1">
      <alignment horizontal="center"/>
    </xf>
    <xf numFmtId="0" fontId="17" fillId="3" borderId="13" xfId="0" applyFont="1" applyFill="1" applyBorder="1" applyAlignment="1">
      <alignment horizontal="center"/>
    </xf>
    <xf numFmtId="0" fontId="27" fillId="0" borderId="2" xfId="0" applyFont="1" applyBorder="1" applyAlignment="1" applyProtection="1">
      <alignment horizontal="center"/>
      <protection locked="0"/>
    </xf>
    <xf numFmtId="0" fontId="78" fillId="0" borderId="5" xfId="6" applyFont="1" applyBorder="1" applyAlignment="1">
      <alignment horizontal="center" vertical="center"/>
    </xf>
    <xf numFmtId="0" fontId="71" fillId="0" borderId="9" xfId="6" applyFont="1" applyBorder="1" applyAlignment="1">
      <alignment horizontal="center"/>
    </xf>
    <xf numFmtId="0" fontId="71" fillId="0" borderId="15" xfId="6" applyFont="1" applyBorder="1" applyAlignment="1">
      <alignment horizontal="center"/>
    </xf>
    <xf numFmtId="0" fontId="71" fillId="0" borderId="6" xfId="6" applyFont="1" applyBorder="1" applyAlignment="1">
      <alignment horizontal="center"/>
    </xf>
    <xf numFmtId="0" fontId="71" fillId="0" borderId="2" xfId="6" applyFont="1" applyBorder="1" applyAlignment="1">
      <alignment horizontal="left"/>
    </xf>
    <xf numFmtId="0" fontId="66" fillId="0" borderId="2" xfId="6" applyBorder="1" applyAlignment="1">
      <alignment horizontal="center"/>
    </xf>
    <xf numFmtId="0" fontId="71" fillId="0" borderId="2" xfId="6" applyFont="1" applyBorder="1" applyAlignment="1">
      <alignment horizontal="center"/>
    </xf>
    <xf numFmtId="14" fontId="71" fillId="9" borderId="2" xfId="6" applyNumberFormat="1" applyFont="1" applyFill="1" applyBorder="1" applyAlignment="1" applyProtection="1">
      <alignment horizontal="left"/>
      <protection locked="0"/>
    </xf>
    <xf numFmtId="0" fontId="66" fillId="0" borderId="9" xfId="6" applyBorder="1" applyAlignment="1">
      <alignment horizontal="center"/>
    </xf>
    <xf numFmtId="0" fontId="66" fillId="0" borderId="15" xfId="6" applyBorder="1" applyAlignment="1">
      <alignment horizontal="center"/>
    </xf>
    <xf numFmtId="0" fontId="71" fillId="0" borderId="2" xfId="6" applyFont="1" applyBorder="1" applyAlignment="1">
      <alignment horizontal="right"/>
    </xf>
    <xf numFmtId="44" fontId="66" fillId="0" borderId="2" xfId="6" applyNumberFormat="1" applyBorder="1" applyAlignment="1">
      <alignment horizontal="left"/>
    </xf>
    <xf numFmtId="0" fontId="66" fillId="0" borderId="2" xfId="6" applyBorder="1" applyAlignment="1">
      <alignment horizontal="left"/>
    </xf>
    <xf numFmtId="0" fontId="4" fillId="9" borderId="2" xfId="6" applyFont="1" applyFill="1" applyBorder="1" applyAlignment="1" applyProtection="1">
      <alignment horizontal="center"/>
      <protection locked="0"/>
    </xf>
    <xf numFmtId="0" fontId="66" fillId="9" borderId="2" xfId="6" applyFill="1" applyBorder="1" applyAlignment="1" applyProtection="1">
      <alignment horizontal="center"/>
      <protection locked="0"/>
    </xf>
    <xf numFmtId="0" fontId="71" fillId="0" borderId="9" xfId="6" applyFont="1" applyBorder="1" applyAlignment="1">
      <alignment horizontal="right"/>
    </xf>
    <xf numFmtId="0" fontId="71" fillId="0" borderId="15" xfId="6" applyFont="1" applyBorder="1" applyAlignment="1">
      <alignment horizontal="right"/>
    </xf>
    <xf numFmtId="0" fontId="71" fillId="0" borderId="6" xfId="6" applyFont="1" applyBorder="1" applyAlignment="1">
      <alignment horizontal="right"/>
    </xf>
    <xf numFmtId="0" fontId="71" fillId="0" borderId="2" xfId="6" applyFont="1" applyBorder="1" applyAlignment="1">
      <alignment horizontal="center" vertical="center"/>
    </xf>
    <xf numFmtId="0" fontId="4" fillId="9" borderId="2" xfId="6" applyFont="1" applyFill="1" applyBorder="1" applyAlignment="1" applyProtection="1">
      <alignment horizontal="left" wrapText="1"/>
      <protection locked="0"/>
    </xf>
    <xf numFmtId="0" fontId="66" fillId="9" borderId="2" xfId="6" applyFill="1" applyBorder="1" applyAlignment="1" applyProtection="1">
      <alignment horizontal="left" wrapText="1"/>
      <protection locked="0"/>
    </xf>
    <xf numFmtId="0" fontId="4" fillId="9" borderId="2" xfId="6" applyFont="1" applyFill="1" applyBorder="1" applyAlignment="1" applyProtection="1">
      <alignment horizontal="left"/>
      <protection locked="0"/>
    </xf>
    <xf numFmtId="0" fontId="66" fillId="9" borderId="2" xfId="6" applyFill="1" applyBorder="1" applyAlignment="1" applyProtection="1">
      <alignment horizontal="left"/>
      <protection locked="0"/>
    </xf>
    <xf numFmtId="0" fontId="4" fillId="9" borderId="2" xfId="6" applyFont="1" applyFill="1" applyBorder="1" applyAlignment="1" applyProtection="1">
      <alignment horizontal="center" wrapText="1"/>
      <protection locked="0"/>
    </xf>
    <xf numFmtId="0" fontId="66" fillId="9" borderId="2" xfId="6" applyFill="1" applyBorder="1" applyAlignment="1" applyProtection="1">
      <alignment horizontal="center" wrapText="1"/>
      <protection locked="0"/>
    </xf>
    <xf numFmtId="0" fontId="71" fillId="13" borderId="2" xfId="6" applyFont="1" applyFill="1" applyBorder="1" applyAlignment="1">
      <alignment horizontal="center"/>
    </xf>
    <xf numFmtId="0" fontId="66" fillId="0" borderId="6" xfId="6" applyBorder="1" applyAlignment="1">
      <alignment horizontal="center"/>
    </xf>
    <xf numFmtId="0" fontId="66" fillId="0" borderId="2" xfId="6" applyBorder="1"/>
    <xf numFmtId="0" fontId="66" fillId="13" borderId="2" xfId="6" applyFill="1" applyBorder="1" applyAlignment="1">
      <alignment horizontal="center"/>
    </xf>
    <xf numFmtId="0" fontId="66" fillId="13" borderId="14" xfId="6" applyFill="1" applyBorder="1" applyAlignment="1">
      <alignment horizontal="center"/>
    </xf>
    <xf numFmtId="0" fontId="66" fillId="0" borderId="2" xfId="6" applyBorder="1" applyAlignment="1">
      <alignment horizontal="center" wrapText="1"/>
    </xf>
    <xf numFmtId="0" fontId="75" fillId="0" borderId="2" xfId="6" applyFont="1" applyBorder="1" applyAlignment="1">
      <alignment horizontal="center"/>
    </xf>
    <xf numFmtId="14" fontId="66" fillId="0" borderId="2" xfId="6" applyNumberFormat="1" applyBorder="1" applyAlignment="1">
      <alignment horizontal="center"/>
    </xf>
    <xf numFmtId="169" fontId="66" fillId="0" borderId="2" xfId="6" applyNumberFormat="1" applyBorder="1" applyAlignment="1">
      <alignment horizontal="center"/>
    </xf>
    <xf numFmtId="0" fontId="6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61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1" fillId="0" borderId="0" xfId="0" applyFont="1" applyAlignment="1">
      <alignment horizontal="left"/>
    </xf>
    <xf numFmtId="0" fontId="63" fillId="0" borderId="0" xfId="0" applyFont="1" applyAlignment="1">
      <alignment horizontal="center"/>
    </xf>
    <xf numFmtId="0" fontId="5" fillId="0" borderId="19" xfId="0" applyFont="1" applyBorder="1" applyAlignment="1" applyProtection="1">
      <alignment horizontal="left" vertical="top"/>
      <protection locked="0"/>
    </xf>
    <xf numFmtId="0" fontId="0" fillId="0" borderId="7" xfId="0" applyBorder="1" applyAlignment="1" applyProtection="1">
      <alignment horizontal="left" vertical="top"/>
      <protection locked="0"/>
    </xf>
    <xf numFmtId="0" fontId="0" fillId="0" borderId="13" xfId="0" applyBorder="1" applyAlignment="1" applyProtection="1">
      <alignment horizontal="left" vertical="top"/>
      <protection locked="0"/>
    </xf>
    <xf numFmtId="0" fontId="0" fillId="0" borderId="18" xfId="0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17" xfId="0" applyBorder="1" applyAlignment="1" applyProtection="1">
      <alignment horizontal="left" vertical="top"/>
      <protection locked="0"/>
    </xf>
    <xf numFmtId="0" fontId="0" fillId="0" borderId="16" xfId="0" applyBorder="1" applyAlignment="1" applyProtection="1">
      <alignment horizontal="left" vertical="top"/>
      <protection locked="0"/>
    </xf>
    <xf numFmtId="0" fontId="0" fillId="0" borderId="5" xfId="0" applyBorder="1" applyAlignment="1" applyProtection="1">
      <alignment horizontal="left" vertical="top"/>
      <protection locked="0"/>
    </xf>
    <xf numFmtId="0" fontId="0" fillId="0" borderId="11" xfId="0" applyBorder="1" applyAlignment="1" applyProtection="1">
      <alignment horizontal="left" vertical="top"/>
      <protection locked="0"/>
    </xf>
    <xf numFmtId="0" fontId="0" fillId="0" borderId="17" xfId="0" applyBorder="1" applyAlignment="1">
      <alignment horizontal="center"/>
    </xf>
    <xf numFmtId="0" fontId="56" fillId="0" borderId="0" xfId="0" applyFont="1" applyAlignment="1">
      <alignment horizontal="left"/>
    </xf>
    <xf numFmtId="0" fontId="64" fillId="0" borderId="0" xfId="0" applyFont="1" applyAlignment="1">
      <alignment horizontal="left"/>
    </xf>
    <xf numFmtId="0" fontId="0" fillId="0" borderId="18" xfId="0" applyBorder="1" applyAlignment="1">
      <alignment horizontal="center"/>
    </xf>
    <xf numFmtId="0" fontId="5" fillId="0" borderId="7" xfId="0" applyFont="1" applyBorder="1" applyAlignment="1" applyProtection="1">
      <alignment horizontal="left" vertical="top"/>
      <protection locked="0"/>
    </xf>
    <xf numFmtId="0" fontId="5" fillId="0" borderId="13" xfId="0" applyFont="1" applyBorder="1" applyAlignment="1" applyProtection="1">
      <alignment horizontal="left" vertical="top"/>
      <protection locked="0"/>
    </xf>
    <xf numFmtId="0" fontId="5" fillId="0" borderId="18" xfId="0" applyFont="1" applyBorder="1" applyAlignment="1" applyProtection="1">
      <alignment horizontal="left" vertical="top"/>
      <protection locked="0"/>
    </xf>
    <xf numFmtId="0" fontId="5" fillId="0" borderId="0" xfId="0" applyFont="1" applyAlignment="1" applyProtection="1">
      <alignment horizontal="left" vertical="top"/>
      <protection locked="0"/>
    </xf>
    <xf numFmtId="0" fontId="5" fillId="0" borderId="17" xfId="0" applyFont="1" applyBorder="1" applyAlignment="1" applyProtection="1">
      <alignment horizontal="left" vertical="top"/>
      <protection locked="0"/>
    </xf>
    <xf numFmtId="0" fontId="5" fillId="0" borderId="16" xfId="0" applyFont="1" applyBorder="1" applyAlignment="1" applyProtection="1">
      <alignment horizontal="left" vertical="top"/>
      <protection locked="0"/>
    </xf>
    <xf numFmtId="0" fontId="5" fillId="0" borderId="5" xfId="0" applyFont="1" applyBorder="1" applyAlignment="1" applyProtection="1">
      <alignment horizontal="left" vertical="top"/>
      <protection locked="0"/>
    </xf>
    <xf numFmtId="0" fontId="5" fillId="0" borderId="11" xfId="0" applyFont="1" applyBorder="1" applyAlignment="1" applyProtection="1">
      <alignment horizontal="left" vertical="top"/>
      <protection locked="0"/>
    </xf>
    <xf numFmtId="0" fontId="56" fillId="0" borderId="18" xfId="0" applyFont="1" applyBorder="1" applyAlignment="1">
      <alignment horizontal="center"/>
    </xf>
    <xf numFmtId="0" fontId="56" fillId="0" borderId="0" xfId="0" applyFont="1" applyAlignment="1">
      <alignment horizontal="center"/>
    </xf>
    <xf numFmtId="0" fontId="75" fillId="14" borderId="16" xfId="0" applyFont="1" applyFill="1" applyBorder="1" applyAlignment="1">
      <alignment horizontal="center"/>
    </xf>
    <xf numFmtId="0" fontId="75" fillId="14" borderId="5" xfId="0" applyFont="1" applyFill="1" applyBorder="1" applyAlignment="1">
      <alignment horizontal="center"/>
    </xf>
    <xf numFmtId="0" fontId="75" fillId="14" borderId="11" xfId="0" applyFont="1" applyFill="1" applyBorder="1" applyAlignment="1">
      <alignment horizontal="center"/>
    </xf>
    <xf numFmtId="0" fontId="74" fillId="16" borderId="16" xfId="0" applyFont="1" applyFill="1" applyBorder="1" applyAlignment="1">
      <alignment horizontal="center"/>
    </xf>
    <xf numFmtId="0" fontId="74" fillId="16" borderId="5" xfId="0" applyFont="1" applyFill="1" applyBorder="1" applyAlignment="1">
      <alignment horizontal="center"/>
    </xf>
    <xf numFmtId="0" fontId="74" fillId="16" borderId="11" xfId="0" applyFont="1" applyFill="1" applyBorder="1" applyAlignment="1">
      <alignment horizontal="center"/>
    </xf>
    <xf numFmtId="0" fontId="74" fillId="15" borderId="16" xfId="0" applyFont="1" applyFill="1" applyBorder="1" applyAlignment="1">
      <alignment horizontal="center" wrapText="1"/>
    </xf>
    <xf numFmtId="0" fontId="74" fillId="15" borderId="5" xfId="0" applyFont="1" applyFill="1" applyBorder="1" applyAlignment="1">
      <alignment horizontal="center" wrapText="1"/>
    </xf>
    <xf numFmtId="0" fontId="74" fillId="15" borderId="11" xfId="0" applyFont="1" applyFill="1" applyBorder="1" applyAlignment="1">
      <alignment horizontal="center" wrapText="1"/>
    </xf>
    <xf numFmtId="0" fontId="74" fillId="14" borderId="16" xfId="0" applyFont="1" applyFill="1" applyBorder="1" applyAlignment="1">
      <alignment horizontal="center"/>
    </xf>
    <xf numFmtId="0" fontId="74" fillId="14" borderId="5" xfId="0" applyFont="1" applyFill="1" applyBorder="1" applyAlignment="1">
      <alignment horizontal="center"/>
    </xf>
    <xf numFmtId="0" fontId="74" fillId="14" borderId="11" xfId="0" applyFont="1" applyFill="1" applyBorder="1" applyAlignment="1">
      <alignment horizontal="center"/>
    </xf>
    <xf numFmtId="0" fontId="71" fillId="0" borderId="0" xfId="0" applyFont="1" applyAlignment="1">
      <alignment horizontal="center" vertical="center" textRotation="90"/>
    </xf>
    <xf numFmtId="0" fontId="75" fillId="16" borderId="16" xfId="0" applyFont="1" applyFill="1" applyBorder="1" applyAlignment="1">
      <alignment horizontal="center"/>
    </xf>
    <xf numFmtId="0" fontId="75" fillId="16" borderId="5" xfId="0" applyFont="1" applyFill="1" applyBorder="1" applyAlignment="1">
      <alignment horizontal="center"/>
    </xf>
    <xf numFmtId="0" fontId="75" fillId="16" borderId="11" xfId="0" applyFont="1" applyFill="1" applyBorder="1" applyAlignment="1">
      <alignment horizontal="center"/>
    </xf>
    <xf numFmtId="0" fontId="75" fillId="15" borderId="16" xfId="0" applyFont="1" applyFill="1" applyBorder="1" applyAlignment="1">
      <alignment horizontal="center"/>
    </xf>
    <xf numFmtId="0" fontId="75" fillId="15" borderId="5" xfId="0" applyFont="1" applyFill="1" applyBorder="1" applyAlignment="1">
      <alignment horizontal="center"/>
    </xf>
    <xf numFmtId="0" fontId="75" fillId="15" borderId="11" xfId="0" applyFont="1" applyFill="1" applyBorder="1" applyAlignment="1">
      <alignment horizontal="center"/>
    </xf>
    <xf numFmtId="0" fontId="75" fillId="12" borderId="16" xfId="0" applyFont="1" applyFill="1" applyBorder="1" applyAlignment="1">
      <alignment horizontal="center"/>
    </xf>
    <xf numFmtId="0" fontId="75" fillId="12" borderId="5" xfId="0" applyFont="1" applyFill="1" applyBorder="1" applyAlignment="1">
      <alignment horizontal="center"/>
    </xf>
    <xf numFmtId="0" fontId="75" fillId="12" borderId="11" xfId="0" applyFont="1" applyFill="1" applyBorder="1" applyAlignment="1">
      <alignment horizontal="center"/>
    </xf>
    <xf numFmtId="0" fontId="75" fillId="10" borderId="16" xfId="0" applyFont="1" applyFill="1" applyBorder="1" applyAlignment="1">
      <alignment horizontal="center"/>
    </xf>
    <xf numFmtId="0" fontId="75" fillId="10" borderId="5" xfId="0" applyFont="1" applyFill="1" applyBorder="1" applyAlignment="1">
      <alignment horizontal="center"/>
    </xf>
    <xf numFmtId="0" fontId="75" fillId="10" borderId="11" xfId="0" applyFont="1" applyFill="1" applyBorder="1" applyAlignment="1">
      <alignment horizontal="center"/>
    </xf>
    <xf numFmtId="0" fontId="74" fillId="12" borderId="9" xfId="0" applyFont="1" applyFill="1" applyBorder="1" applyAlignment="1">
      <alignment horizontal="center"/>
    </xf>
    <xf numFmtId="0" fontId="74" fillId="12" borderId="15" xfId="0" applyFont="1" applyFill="1" applyBorder="1" applyAlignment="1">
      <alignment horizontal="center"/>
    </xf>
    <xf numFmtId="0" fontId="74" fillId="12" borderId="6" xfId="0" applyFont="1" applyFill="1" applyBorder="1" applyAlignment="1">
      <alignment horizontal="center"/>
    </xf>
    <xf numFmtId="0" fontId="74" fillId="10" borderId="9" xfId="0" applyFont="1" applyFill="1" applyBorder="1" applyAlignment="1">
      <alignment horizontal="center"/>
    </xf>
    <xf numFmtId="0" fontId="74" fillId="10" borderId="15" xfId="0" applyFont="1" applyFill="1" applyBorder="1" applyAlignment="1">
      <alignment horizontal="center"/>
    </xf>
    <xf numFmtId="0" fontId="74" fillId="10" borderId="6" xfId="0" applyFont="1" applyFill="1" applyBorder="1" applyAlignment="1">
      <alignment horizontal="center"/>
    </xf>
    <xf numFmtId="0" fontId="40" fillId="0" borderId="2" xfId="0" applyFont="1" applyBorder="1" applyAlignment="1" applyProtection="1">
      <alignment horizontal="left"/>
      <protection locked="0"/>
    </xf>
    <xf numFmtId="0" fontId="42" fillId="0" borderId="0" xfId="0" applyFont="1" applyAlignment="1" applyProtection="1">
      <alignment horizontal="left"/>
      <protection locked="0"/>
    </xf>
    <xf numFmtId="0" fontId="40" fillId="8" borderId="0" xfId="0" applyFont="1" applyFill="1" applyAlignment="1">
      <alignment horizontal="right"/>
    </xf>
    <xf numFmtId="0" fontId="40" fillId="8" borderId="5" xfId="0" applyFont="1" applyFill="1" applyBorder="1" applyAlignment="1">
      <alignment horizontal="center"/>
    </xf>
    <xf numFmtId="0" fontId="42" fillId="4" borderId="0" xfId="0" applyFont="1" applyFill="1" applyAlignment="1" applyProtection="1">
      <alignment horizontal="center"/>
      <protection locked="0"/>
    </xf>
    <xf numFmtId="0" fontId="44" fillId="4" borderId="0" xfId="0" applyFont="1" applyFill="1" applyAlignment="1">
      <alignment horizontal="center"/>
    </xf>
    <xf numFmtId="0" fontId="42" fillId="3" borderId="0" xfId="0" applyFont="1" applyFill="1" applyAlignment="1">
      <alignment horizontal="right"/>
    </xf>
    <xf numFmtId="0" fontId="40" fillId="0" borderId="0" xfId="0" applyFont="1" applyAlignment="1" applyProtection="1">
      <alignment horizontal="left"/>
      <protection locked="0"/>
    </xf>
    <xf numFmtId="0" fontId="42" fillId="4" borderId="0" xfId="0" applyFont="1" applyFill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0" fillId="3" borderId="0" xfId="0" applyFont="1" applyFill="1" applyAlignment="1">
      <alignment horizontal="right"/>
    </xf>
    <xf numFmtId="44" fontId="42" fillId="0" borderId="0" xfId="1" applyFont="1" applyAlignment="1" applyProtection="1">
      <alignment horizontal="center"/>
      <protection locked="0"/>
    </xf>
    <xf numFmtId="44" fontId="42" fillId="4" borderId="0" xfId="1" applyFont="1" applyFill="1" applyAlignment="1" applyProtection="1">
      <alignment horizontal="center"/>
      <protection locked="0"/>
    </xf>
    <xf numFmtId="0" fontId="56" fillId="0" borderId="19" xfId="0" applyFont="1" applyBorder="1" applyAlignment="1" applyProtection="1">
      <alignment horizontal="center" wrapText="1"/>
      <protection locked="0"/>
    </xf>
    <xf numFmtId="0" fontId="56" fillId="0" borderId="7" xfId="0" applyFont="1" applyBorder="1" applyAlignment="1" applyProtection="1">
      <alignment horizontal="center" wrapText="1"/>
      <protection locked="0"/>
    </xf>
    <xf numFmtId="0" fontId="56" fillId="0" borderId="13" xfId="0" applyFont="1" applyBorder="1" applyAlignment="1" applyProtection="1">
      <alignment horizontal="center" wrapText="1"/>
      <protection locked="0"/>
    </xf>
    <xf numFmtId="0" fontId="56" fillId="0" borderId="18" xfId="0" applyFont="1" applyBorder="1" applyAlignment="1" applyProtection="1">
      <alignment horizontal="center" wrapText="1"/>
      <protection locked="0"/>
    </xf>
    <xf numFmtId="0" fontId="56" fillId="0" borderId="0" xfId="0" applyFont="1" applyAlignment="1" applyProtection="1">
      <alignment horizontal="center" wrapText="1"/>
      <protection locked="0"/>
    </xf>
    <xf numFmtId="0" fontId="56" fillId="0" borderId="17" xfId="0" applyFont="1" applyBorder="1" applyAlignment="1" applyProtection="1">
      <alignment horizontal="center" wrapText="1"/>
      <protection locked="0"/>
    </xf>
    <xf numFmtId="0" fontId="56" fillId="0" borderId="16" xfId="0" applyFont="1" applyBorder="1" applyAlignment="1" applyProtection="1">
      <alignment horizontal="center" wrapText="1"/>
      <protection locked="0"/>
    </xf>
    <xf numFmtId="0" fontId="56" fillId="0" borderId="5" xfId="0" applyFont="1" applyBorder="1" applyAlignment="1" applyProtection="1">
      <alignment horizontal="center" wrapText="1"/>
      <protection locked="0"/>
    </xf>
    <xf numFmtId="0" fontId="56" fillId="0" borderId="11" xfId="0" applyFont="1" applyBorder="1" applyAlignment="1" applyProtection="1">
      <alignment horizontal="center" wrapText="1"/>
      <protection locked="0"/>
    </xf>
    <xf numFmtId="0" fontId="42" fillId="0" borderId="0" xfId="0" applyFont="1" applyAlignment="1" applyProtection="1">
      <alignment horizontal="center"/>
      <protection locked="0"/>
    </xf>
    <xf numFmtId="0" fontId="35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57" fillId="3" borderId="0" xfId="0" applyFont="1" applyFill="1" applyAlignment="1">
      <alignment horizontal="center"/>
    </xf>
    <xf numFmtId="0" fontId="5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5" xfId="0" applyFont="1" applyBorder="1" applyAlignment="1">
      <alignment horizontal="center" vertical="center"/>
    </xf>
    <xf numFmtId="0" fontId="82" fillId="0" borderId="5" xfId="0" applyFont="1" applyBorder="1" applyAlignment="1">
      <alignment horizontal="center" vertical="center"/>
    </xf>
    <xf numFmtId="0" fontId="33" fillId="0" borderId="0" xfId="0" applyFont="1" applyAlignment="1">
      <alignment horizontal="left" vertical="top" wrapText="1"/>
    </xf>
    <xf numFmtId="0" fontId="15" fillId="0" borderId="0" xfId="0" applyFont="1" applyAlignment="1">
      <alignment horizontal="justify" vertical="top" wrapText="1"/>
    </xf>
    <xf numFmtId="0" fontId="33" fillId="0" borderId="0" xfId="0" applyFont="1" applyAlignment="1">
      <alignment horizontal="justify" vertical="top" wrapText="1"/>
    </xf>
    <xf numFmtId="0" fontId="72" fillId="0" borderId="0" xfId="0" applyFont="1" applyAlignment="1">
      <alignment horizontal="center"/>
    </xf>
  </cellXfs>
  <cellStyles count="19">
    <cellStyle name="20% - Accent2" xfId="17" builtinId="34"/>
    <cellStyle name="20% - Accent3" xfId="18" builtinId="38"/>
    <cellStyle name="60% - Accent2" xfId="8" builtinId="36"/>
    <cellStyle name="Bad" xfId="14" builtinId="27"/>
    <cellStyle name="Check Cell" xfId="15" builtinId="23"/>
    <cellStyle name="Currency" xfId="1" builtinId="4"/>
    <cellStyle name="Currency 2" xfId="2" xr:uid="{00000000-0005-0000-0000-000001000000}"/>
    <cellStyle name="Currency 3" xfId="3" xr:uid="{00000000-0005-0000-0000-000002000000}"/>
    <cellStyle name="Explanatory Text" xfId="16" builtinId="53"/>
    <cellStyle name="Good" xfId="13" builtinId="26"/>
    <cellStyle name="Hyperlink" xfId="4" builtinId="8"/>
    <cellStyle name="Input" xfId="11" builtinId="20"/>
    <cellStyle name="Neutral" xfId="10" builtinId="28"/>
    <cellStyle name="Normal" xfId="0" builtinId="0"/>
    <cellStyle name="Normal 2" xfId="5" xr:uid="{00000000-0005-0000-0000-000005000000}"/>
    <cellStyle name="Normal 3" xfId="6" xr:uid="{00000000-0005-0000-0000-000006000000}"/>
    <cellStyle name="Normal 4" xfId="9" xr:uid="{F8E07859-F11D-466C-9A50-26E3EBA862B4}"/>
    <cellStyle name="Output" xfId="12" builtinId="21"/>
    <cellStyle name="Percent" xfId="7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9935824" cy="9495234"/>
    <xdr:pic>
      <xdr:nvPicPr>
        <xdr:cNvPr id="2" name="Picture 1">
          <a:extLst>
            <a:ext uri="{FF2B5EF4-FFF2-40B4-BE49-F238E27FC236}">
              <a16:creationId xmlns:a16="http://schemas.microsoft.com/office/drawing/2014/main" id="{DD54ECA7-56FD-4631-BDB9-281FBEEA8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935824" cy="9495234"/>
        </a:xfrm>
        <a:prstGeom prst="rect">
          <a:avLst/>
        </a:prstGeom>
        <a:solidFill>
          <a:srgbClr val="FF7A7A"/>
        </a:solidFill>
      </xdr:spPr>
    </xdr:pic>
    <xdr:clientData/>
  </xdr:oneCellAnchor>
  <xdr:twoCellAnchor>
    <xdr:from>
      <xdr:col>3</xdr:col>
      <xdr:colOff>438150</xdr:colOff>
      <xdr:row>14</xdr:row>
      <xdr:rowOff>19051</xdr:rowOff>
    </xdr:from>
    <xdr:to>
      <xdr:col>12</xdr:col>
      <xdr:colOff>1333499</xdr:colOff>
      <xdr:row>17</xdr:row>
      <xdr:rowOff>114301</xdr:rowOff>
    </xdr:to>
    <xdr:sp macro="[0]!RectangleRoundedCorners11_Click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8F49EDD-4F7F-4A25-B0DC-02D93F2B24EB}"/>
            </a:ext>
          </a:extLst>
        </xdr:cNvPr>
        <xdr:cNvSpPr/>
      </xdr:nvSpPr>
      <xdr:spPr>
        <a:xfrm>
          <a:off x="2266950" y="3857626"/>
          <a:ext cx="2419349" cy="666750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Credit</a:t>
          </a:r>
          <a:r>
            <a:rPr lang="en-US" sz="1800" b="0" cap="none" spc="0" baseline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 Score</a:t>
          </a:r>
        </a:p>
        <a:p>
          <a:pPr algn="ctr"/>
          <a:r>
            <a:rPr lang="en-US" sz="1800" b="0" cap="none" spc="0" baseline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Input</a:t>
          </a:r>
        </a:p>
        <a:p>
          <a:pPr algn="ctr"/>
          <a:endParaRPr lang="en-US" sz="1800" b="0" cap="none" spc="0">
            <a:ln>
              <a:noFill/>
            </a:ln>
            <a:solidFill>
              <a:schemeClr val="bg1"/>
            </a:solidFill>
            <a:effectLst/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38099</xdr:colOff>
      <xdr:row>1</xdr:row>
      <xdr:rowOff>19050</xdr:rowOff>
    </xdr:from>
    <xdr:to>
      <xdr:col>18</xdr:col>
      <xdr:colOff>514349</xdr:colOff>
      <xdr:row>6</xdr:row>
      <xdr:rowOff>114300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50855ED6-6B7D-46EA-A67A-8A7FE7389BB4}"/>
            </a:ext>
          </a:extLst>
        </xdr:cNvPr>
        <xdr:cNvSpPr/>
      </xdr:nvSpPr>
      <xdr:spPr>
        <a:xfrm>
          <a:off x="2400299" y="209550"/>
          <a:ext cx="12734925" cy="1047750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5400" b="0" i="0" u="sng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Consumer</a:t>
          </a:r>
          <a:r>
            <a:rPr lang="en-US" sz="5400" b="0" i="0" u="sng" cap="none" spc="0" baseline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 Loan Checklist Wizard</a:t>
          </a:r>
          <a:endParaRPr lang="en-US" sz="5400" b="0" i="0" u="sng" cap="none" spc="0">
            <a:ln>
              <a:noFill/>
            </a:ln>
            <a:solidFill>
              <a:schemeClr val="bg1"/>
            </a:solidFill>
            <a:effectLst/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3</xdr:col>
      <xdr:colOff>495299</xdr:colOff>
      <xdr:row>21</xdr:row>
      <xdr:rowOff>161925</xdr:rowOff>
    </xdr:from>
    <xdr:to>
      <xdr:col>12</xdr:col>
      <xdr:colOff>1333500</xdr:colOff>
      <xdr:row>25</xdr:row>
      <xdr:rowOff>47624</xdr:rowOff>
    </xdr:to>
    <xdr:sp macro="[0]!RectangleRoundedCorners29_Click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326E0061-6E20-40B9-B12A-E832ED858E33}"/>
            </a:ext>
          </a:extLst>
        </xdr:cNvPr>
        <xdr:cNvSpPr/>
      </xdr:nvSpPr>
      <xdr:spPr>
        <a:xfrm>
          <a:off x="2324099" y="5334000"/>
          <a:ext cx="2362201" cy="647699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RBP Notice</a:t>
          </a:r>
        </a:p>
      </xdr:txBody>
    </xdr:sp>
    <xdr:clientData/>
  </xdr:twoCellAnchor>
  <xdr:twoCellAnchor>
    <xdr:from>
      <xdr:col>3</xdr:col>
      <xdr:colOff>457199</xdr:colOff>
      <xdr:row>17</xdr:row>
      <xdr:rowOff>180976</xdr:rowOff>
    </xdr:from>
    <xdr:to>
      <xdr:col>12</xdr:col>
      <xdr:colOff>1323975</xdr:colOff>
      <xdr:row>21</xdr:row>
      <xdr:rowOff>95250</xdr:rowOff>
    </xdr:to>
    <xdr:sp macro="[0]!RectangleRoundedCorners6_Click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786CDAE8-920E-4C06-B4FE-40DD741B4EA8}"/>
            </a:ext>
          </a:extLst>
        </xdr:cNvPr>
        <xdr:cNvSpPr/>
      </xdr:nvSpPr>
      <xdr:spPr>
        <a:xfrm>
          <a:off x="2285999" y="4591051"/>
          <a:ext cx="2390776" cy="676274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Payment Source</a:t>
          </a:r>
        </a:p>
        <a:p>
          <a:pPr algn="ctr"/>
          <a:endParaRPr lang="en-US" sz="1800" b="0" cap="none" spc="0">
            <a:ln>
              <a:noFill/>
            </a:ln>
            <a:solidFill>
              <a:schemeClr val="bg1"/>
            </a:solidFill>
            <a:effectLst/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4895850</xdr:colOff>
      <xdr:row>8</xdr:row>
      <xdr:rowOff>85725</xdr:rowOff>
    </xdr:from>
    <xdr:to>
      <xdr:col>17</xdr:col>
      <xdr:colOff>57150</xdr:colOff>
      <xdr:row>9</xdr:row>
      <xdr:rowOff>161925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43B2B186-F9E2-44A7-91BC-2185929E056C}"/>
            </a:ext>
          </a:extLst>
        </xdr:cNvPr>
        <xdr:cNvSpPr/>
      </xdr:nvSpPr>
      <xdr:spPr>
        <a:xfrm>
          <a:off x="10791825" y="1609725"/>
          <a:ext cx="3276600" cy="581025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200" b="0" u="sng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References</a:t>
          </a:r>
        </a:p>
      </xdr:txBody>
    </xdr:sp>
    <xdr:clientData/>
  </xdr:twoCellAnchor>
  <xdr:twoCellAnchor>
    <xdr:from>
      <xdr:col>12</xdr:col>
      <xdr:colOff>1590674</xdr:colOff>
      <xdr:row>21</xdr:row>
      <xdr:rowOff>142875</xdr:rowOff>
    </xdr:from>
    <xdr:to>
      <xdr:col>13</xdr:col>
      <xdr:colOff>1381124</xdr:colOff>
      <xdr:row>25</xdr:row>
      <xdr:rowOff>66675</xdr:rowOff>
    </xdr:to>
    <xdr:sp macro="[0]!RectangleRoundedCorners20_Click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44574754-F602-4E91-A558-2ED7AF5B9662}"/>
            </a:ext>
          </a:extLst>
        </xdr:cNvPr>
        <xdr:cNvSpPr/>
      </xdr:nvSpPr>
      <xdr:spPr>
        <a:xfrm>
          <a:off x="4943474" y="5314950"/>
          <a:ext cx="2333625" cy="685800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Loan Exceptions</a:t>
          </a:r>
        </a:p>
      </xdr:txBody>
    </xdr:sp>
    <xdr:clientData/>
  </xdr:twoCellAnchor>
  <xdr:twoCellAnchor>
    <xdr:from>
      <xdr:col>3</xdr:col>
      <xdr:colOff>400050</xdr:colOff>
      <xdr:row>9</xdr:row>
      <xdr:rowOff>266700</xdr:rowOff>
    </xdr:from>
    <xdr:to>
      <xdr:col>12</xdr:col>
      <xdr:colOff>1295400</xdr:colOff>
      <xdr:row>10</xdr:row>
      <xdr:rowOff>485774</xdr:rowOff>
    </xdr:to>
    <xdr:sp macro="[0]!RectangleRoundedCorners1_Click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F9E087FC-C010-464B-B2BF-3EB61029CA43}"/>
            </a:ext>
          </a:extLst>
        </xdr:cNvPr>
        <xdr:cNvSpPr/>
      </xdr:nvSpPr>
      <xdr:spPr>
        <a:xfrm>
          <a:off x="2228850" y="2295525"/>
          <a:ext cx="2419350" cy="723899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Borrower / Cosigner</a:t>
          </a:r>
        </a:p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Information</a:t>
          </a:r>
          <a:r>
            <a:rPr lang="en-US" sz="1800" b="0" cap="none" spc="0" baseline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 Form</a:t>
          </a:r>
          <a:endParaRPr lang="en-US" sz="1800" b="0" cap="none" spc="0">
            <a:ln>
              <a:noFill/>
            </a:ln>
            <a:solidFill>
              <a:schemeClr val="bg1"/>
            </a:solidFill>
            <a:effectLst/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3</xdr:col>
      <xdr:colOff>409575</xdr:colOff>
      <xdr:row>11</xdr:row>
      <xdr:rowOff>76200</xdr:rowOff>
    </xdr:from>
    <xdr:to>
      <xdr:col>12</xdr:col>
      <xdr:colOff>1304925</xdr:colOff>
      <xdr:row>13</xdr:row>
      <xdr:rowOff>219075</xdr:rowOff>
    </xdr:to>
    <xdr:sp macro="[0]!RectangleRoundedCorners10_Click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31A5EA53-9F98-4081-A2EC-EE1DB379170B}"/>
            </a:ext>
          </a:extLst>
        </xdr:cNvPr>
        <xdr:cNvSpPr/>
      </xdr:nvSpPr>
      <xdr:spPr>
        <a:xfrm>
          <a:off x="2238375" y="3114675"/>
          <a:ext cx="2419350" cy="676275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Income / Debts</a:t>
          </a:r>
        </a:p>
        <a:p>
          <a:pPr algn="ctr"/>
          <a:r>
            <a:rPr lang="en-US" sz="1800" b="0" cap="none" spc="0" baseline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 Calculator</a:t>
          </a:r>
          <a:endParaRPr lang="en-US" sz="1800" b="0" cap="none" spc="0">
            <a:ln>
              <a:noFill/>
            </a:ln>
            <a:solidFill>
              <a:schemeClr val="bg1"/>
            </a:solidFill>
            <a:effectLst/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12</xdr:col>
      <xdr:colOff>1571623</xdr:colOff>
      <xdr:row>9</xdr:row>
      <xdr:rowOff>276224</xdr:rowOff>
    </xdr:from>
    <xdr:to>
      <xdr:col>13</xdr:col>
      <xdr:colOff>1409700</xdr:colOff>
      <xdr:row>10</xdr:row>
      <xdr:rowOff>476250</xdr:rowOff>
    </xdr:to>
    <xdr:sp macro="[0]!RectangleRoundedCorners24_Click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48AF7CF2-509A-4B79-87EF-14B0C81B6185}"/>
            </a:ext>
          </a:extLst>
        </xdr:cNvPr>
        <xdr:cNvSpPr/>
      </xdr:nvSpPr>
      <xdr:spPr>
        <a:xfrm>
          <a:off x="4924423" y="2305049"/>
          <a:ext cx="2381252" cy="704851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Loan</a:t>
          </a:r>
          <a:r>
            <a:rPr lang="en-US" sz="1800" b="0" cap="none" spc="0" baseline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 Details</a:t>
          </a:r>
          <a:endParaRPr lang="en-US" sz="1800" b="0" cap="none" spc="0">
            <a:ln>
              <a:noFill/>
            </a:ln>
            <a:solidFill>
              <a:schemeClr val="bg1"/>
            </a:solidFill>
            <a:effectLst/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12</xdr:col>
      <xdr:colOff>1581150</xdr:colOff>
      <xdr:row>13</xdr:row>
      <xdr:rowOff>238126</xdr:rowOff>
    </xdr:from>
    <xdr:to>
      <xdr:col>13</xdr:col>
      <xdr:colOff>1400175</xdr:colOff>
      <xdr:row>17</xdr:row>
      <xdr:rowOff>104776</xdr:rowOff>
    </xdr:to>
    <xdr:sp macro="[0]!RectangleRoundedCorners7_Click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FCE343D0-D745-4F86-9745-0303D20452ED}"/>
            </a:ext>
          </a:extLst>
        </xdr:cNvPr>
        <xdr:cNvSpPr/>
      </xdr:nvSpPr>
      <xdr:spPr>
        <a:xfrm>
          <a:off x="4933950" y="3810001"/>
          <a:ext cx="2362200" cy="704850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Loan Officer Comments</a:t>
          </a:r>
        </a:p>
      </xdr:txBody>
    </xdr:sp>
    <xdr:clientData/>
  </xdr:twoCellAnchor>
  <xdr:twoCellAnchor>
    <xdr:from>
      <xdr:col>12</xdr:col>
      <xdr:colOff>1590675</xdr:colOff>
      <xdr:row>17</xdr:row>
      <xdr:rowOff>171450</xdr:rowOff>
    </xdr:from>
    <xdr:to>
      <xdr:col>13</xdr:col>
      <xdr:colOff>1390650</xdr:colOff>
      <xdr:row>21</xdr:row>
      <xdr:rowOff>76200</xdr:rowOff>
    </xdr:to>
    <xdr:sp macro="[0]!RectangleRoundedCorners8_Click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E57812CE-FE78-4D8B-A985-8AE6A5ADC068}"/>
            </a:ext>
          </a:extLst>
        </xdr:cNvPr>
        <xdr:cNvSpPr/>
      </xdr:nvSpPr>
      <xdr:spPr>
        <a:xfrm>
          <a:off x="4943475" y="4581525"/>
          <a:ext cx="2343150" cy="666750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Underwriting Comments</a:t>
          </a:r>
        </a:p>
      </xdr:txBody>
    </xdr:sp>
    <xdr:clientData/>
  </xdr:twoCellAnchor>
  <xdr:twoCellAnchor>
    <xdr:from>
      <xdr:col>12</xdr:col>
      <xdr:colOff>1581149</xdr:colOff>
      <xdr:row>11</xdr:row>
      <xdr:rowOff>38100</xdr:rowOff>
    </xdr:from>
    <xdr:to>
      <xdr:col>13</xdr:col>
      <xdr:colOff>1381125</xdr:colOff>
      <xdr:row>13</xdr:row>
      <xdr:rowOff>209550</xdr:rowOff>
    </xdr:to>
    <xdr:sp macro="[0]!RectangleRoundedCorners32_Click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B5EBA979-8265-43F7-9811-9721D9D3A400}"/>
            </a:ext>
          </a:extLst>
        </xdr:cNvPr>
        <xdr:cNvSpPr/>
      </xdr:nvSpPr>
      <xdr:spPr>
        <a:xfrm>
          <a:off x="4933949" y="3076575"/>
          <a:ext cx="2343151" cy="704850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 baseline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Collateral Details</a:t>
          </a:r>
          <a:endParaRPr lang="en-US" sz="1800" b="0" cap="none" spc="0">
            <a:ln>
              <a:noFill/>
            </a:ln>
            <a:solidFill>
              <a:schemeClr val="bg1"/>
            </a:solidFill>
            <a:effectLst/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12</xdr:col>
      <xdr:colOff>438149</xdr:colOff>
      <xdr:row>25</xdr:row>
      <xdr:rowOff>133349</xdr:rowOff>
    </xdr:from>
    <xdr:to>
      <xdr:col>13</xdr:col>
      <xdr:colOff>95249</xdr:colOff>
      <xdr:row>28</xdr:row>
      <xdr:rowOff>85724</xdr:rowOff>
    </xdr:to>
    <xdr:sp macro="[0]!RectangleRoundedCorners33_Click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8A52F937-BBD0-47FC-9A4E-2C361A03A0B1}"/>
            </a:ext>
          </a:extLst>
        </xdr:cNvPr>
        <xdr:cNvSpPr/>
      </xdr:nvSpPr>
      <xdr:spPr>
        <a:xfrm>
          <a:off x="3790949" y="6067424"/>
          <a:ext cx="2200275" cy="523875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Clear Checklist Contents</a:t>
          </a:r>
        </a:p>
      </xdr:txBody>
    </xdr:sp>
    <xdr:clientData/>
  </xdr:twoCellAnchor>
  <xdr:twoCellAnchor>
    <xdr:from>
      <xdr:col>13</xdr:col>
      <xdr:colOff>4133849</xdr:colOff>
      <xdr:row>9</xdr:row>
      <xdr:rowOff>266700</xdr:rowOff>
    </xdr:from>
    <xdr:to>
      <xdr:col>14</xdr:col>
      <xdr:colOff>238124</xdr:colOff>
      <xdr:row>10</xdr:row>
      <xdr:rowOff>457200</xdr:rowOff>
    </xdr:to>
    <xdr:sp macro="[0]!RectangleRoundedCorners34_Click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99D9895C-E1A0-49AE-B002-FDEAD84B2F4D}"/>
            </a:ext>
          </a:extLst>
        </xdr:cNvPr>
        <xdr:cNvSpPr/>
      </xdr:nvSpPr>
      <xdr:spPr>
        <a:xfrm>
          <a:off x="10029824" y="2295525"/>
          <a:ext cx="2390775" cy="695325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Checklist</a:t>
          </a:r>
        </a:p>
      </xdr:txBody>
    </xdr:sp>
    <xdr:clientData/>
  </xdr:twoCellAnchor>
  <xdr:twoCellAnchor>
    <xdr:from>
      <xdr:col>13</xdr:col>
      <xdr:colOff>4143375</xdr:colOff>
      <xdr:row>10</xdr:row>
      <xdr:rowOff>495301</xdr:rowOff>
    </xdr:from>
    <xdr:to>
      <xdr:col>14</xdr:col>
      <xdr:colOff>257175</xdr:colOff>
      <xdr:row>13</xdr:row>
      <xdr:rowOff>171450</xdr:rowOff>
    </xdr:to>
    <xdr:sp macro="[0]!RectangleRoundedCorners35_Click" textlink="">
      <xdr:nvSpPr>
        <xdr:cNvPr id="36" name="Rectangle: Rounded Corners 35">
          <a:extLst>
            <a:ext uri="{FF2B5EF4-FFF2-40B4-BE49-F238E27FC236}">
              <a16:creationId xmlns:a16="http://schemas.microsoft.com/office/drawing/2014/main" id="{F632ACB4-E9A1-4294-94E0-0DC3661362EC}"/>
            </a:ext>
          </a:extLst>
        </xdr:cNvPr>
        <xdr:cNvSpPr/>
      </xdr:nvSpPr>
      <xdr:spPr>
        <a:xfrm>
          <a:off x="10039350" y="3028951"/>
          <a:ext cx="2400300" cy="714374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Deny or Withdraw</a:t>
          </a:r>
        </a:p>
      </xdr:txBody>
    </xdr:sp>
    <xdr:clientData/>
  </xdr:twoCellAnchor>
  <xdr:twoCellAnchor>
    <xdr:from>
      <xdr:col>13</xdr:col>
      <xdr:colOff>4143374</xdr:colOff>
      <xdr:row>13</xdr:row>
      <xdr:rowOff>200026</xdr:rowOff>
    </xdr:from>
    <xdr:to>
      <xdr:col>14</xdr:col>
      <xdr:colOff>285749</xdr:colOff>
      <xdr:row>17</xdr:row>
      <xdr:rowOff>57150</xdr:rowOff>
    </xdr:to>
    <xdr:sp macro="[0]!RectangleRoundedCorners36_Click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7B142C7B-054B-46F2-900E-B658264A47AD}"/>
            </a:ext>
          </a:extLst>
        </xdr:cNvPr>
        <xdr:cNvSpPr/>
      </xdr:nvSpPr>
      <xdr:spPr>
        <a:xfrm>
          <a:off x="10039349" y="3771901"/>
          <a:ext cx="2428875" cy="695324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Short Form</a:t>
          </a:r>
        </a:p>
      </xdr:txBody>
    </xdr:sp>
    <xdr:clientData/>
  </xdr:twoCellAnchor>
  <xdr:twoCellAnchor>
    <xdr:from>
      <xdr:col>13</xdr:col>
      <xdr:colOff>4152899</xdr:colOff>
      <xdr:row>17</xdr:row>
      <xdr:rowOff>95250</xdr:rowOff>
    </xdr:from>
    <xdr:to>
      <xdr:col>14</xdr:col>
      <xdr:colOff>276224</xdr:colOff>
      <xdr:row>20</xdr:row>
      <xdr:rowOff>180975</xdr:rowOff>
    </xdr:to>
    <xdr:sp macro="[0]!RectangleRoundedCorners37_Click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3AA2D16D-7872-47DA-9423-1F5C282E217A}"/>
            </a:ext>
          </a:extLst>
        </xdr:cNvPr>
        <xdr:cNvSpPr/>
      </xdr:nvSpPr>
      <xdr:spPr>
        <a:xfrm>
          <a:off x="10048874" y="4505325"/>
          <a:ext cx="2409825" cy="657225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Policy Exceptions</a:t>
          </a:r>
        </a:p>
      </xdr:txBody>
    </xdr:sp>
    <xdr:clientData/>
  </xdr:twoCellAnchor>
  <xdr:twoCellAnchor>
    <xdr:from>
      <xdr:col>13</xdr:col>
      <xdr:colOff>4181475</xdr:colOff>
      <xdr:row>21</xdr:row>
      <xdr:rowOff>76200</xdr:rowOff>
    </xdr:from>
    <xdr:to>
      <xdr:col>14</xdr:col>
      <xdr:colOff>285750</xdr:colOff>
      <xdr:row>24</xdr:row>
      <xdr:rowOff>152399</xdr:rowOff>
    </xdr:to>
    <xdr:sp macro="[0]!RectangleRoundedCorners38_Click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744942EC-3837-4496-A6B2-5143331C093C}"/>
            </a:ext>
          </a:extLst>
        </xdr:cNvPr>
        <xdr:cNvSpPr/>
      </xdr:nvSpPr>
      <xdr:spPr>
        <a:xfrm>
          <a:off x="10077450" y="5248275"/>
          <a:ext cx="2390775" cy="647699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Loan LTV Limits</a:t>
          </a:r>
        </a:p>
      </xdr:txBody>
    </xdr:sp>
    <xdr:clientData/>
  </xdr:twoCellAnchor>
  <xdr:twoCellAnchor>
    <xdr:from>
      <xdr:col>14</xdr:col>
      <xdr:colOff>476250</xdr:colOff>
      <xdr:row>9</xdr:row>
      <xdr:rowOff>266700</xdr:rowOff>
    </xdr:from>
    <xdr:to>
      <xdr:col>18</xdr:col>
      <xdr:colOff>428625</xdr:colOff>
      <xdr:row>10</xdr:row>
      <xdr:rowOff>428624</xdr:rowOff>
    </xdr:to>
    <xdr:sp macro="[0]!RectangleRoundedCorners46_Click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97EF92B6-71A2-4DA8-82CE-180343A49B15}"/>
            </a:ext>
          </a:extLst>
        </xdr:cNvPr>
        <xdr:cNvSpPr/>
      </xdr:nvSpPr>
      <xdr:spPr>
        <a:xfrm>
          <a:off x="12658725" y="2295525"/>
          <a:ext cx="2390775" cy="666749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Closing Document</a:t>
          </a:r>
        </a:p>
      </xdr:txBody>
    </xdr:sp>
    <xdr:clientData/>
  </xdr:twoCellAnchor>
  <xdr:twoCellAnchor>
    <xdr:from>
      <xdr:col>14</xdr:col>
      <xdr:colOff>476250</xdr:colOff>
      <xdr:row>11</xdr:row>
      <xdr:rowOff>0</xdr:rowOff>
    </xdr:from>
    <xdr:to>
      <xdr:col>18</xdr:col>
      <xdr:colOff>409575</xdr:colOff>
      <xdr:row>13</xdr:row>
      <xdr:rowOff>161925</xdr:rowOff>
    </xdr:to>
    <xdr:sp macro="[0]!RectangleRoundedCorners47_Click" textlink="">
      <xdr:nvSpPr>
        <xdr:cNvPr id="48" name="Rectangle: Rounded Corners 47">
          <a:extLst>
            <a:ext uri="{FF2B5EF4-FFF2-40B4-BE49-F238E27FC236}">
              <a16:creationId xmlns:a16="http://schemas.microsoft.com/office/drawing/2014/main" id="{EF5FD8A4-056F-41D9-88C6-A9BC6BE90430}"/>
            </a:ext>
          </a:extLst>
        </xdr:cNvPr>
        <xdr:cNvSpPr/>
      </xdr:nvSpPr>
      <xdr:spPr>
        <a:xfrm>
          <a:off x="12658725" y="3038475"/>
          <a:ext cx="2371725" cy="695325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Rate Tables</a:t>
          </a:r>
        </a:p>
      </xdr:txBody>
    </xdr:sp>
    <xdr:clientData/>
  </xdr:twoCellAnchor>
  <xdr:twoCellAnchor>
    <xdr:from>
      <xdr:col>14</xdr:col>
      <xdr:colOff>476250</xdr:colOff>
      <xdr:row>13</xdr:row>
      <xdr:rowOff>219075</xdr:rowOff>
    </xdr:from>
    <xdr:to>
      <xdr:col>18</xdr:col>
      <xdr:colOff>447675</xdr:colOff>
      <xdr:row>17</xdr:row>
      <xdr:rowOff>47624</xdr:rowOff>
    </xdr:to>
    <xdr:sp macro="[0]!RectangleRoundedCorners48_Click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68B9E778-6835-4423-A2A5-CB8F240ADC26}"/>
            </a:ext>
          </a:extLst>
        </xdr:cNvPr>
        <xdr:cNvSpPr/>
      </xdr:nvSpPr>
      <xdr:spPr>
        <a:xfrm>
          <a:off x="12658725" y="3790950"/>
          <a:ext cx="2409825" cy="666749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Approval</a:t>
          </a:r>
          <a:r>
            <a:rPr lang="en-US" sz="1800" b="0" cap="none" spc="0" baseline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 Limits</a:t>
          </a:r>
          <a:endParaRPr lang="en-US" sz="1800" b="0" cap="none" spc="0">
            <a:ln>
              <a:noFill/>
            </a:ln>
            <a:solidFill>
              <a:schemeClr val="bg1"/>
            </a:solidFill>
            <a:effectLst/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495300</xdr:colOff>
      <xdr:row>17</xdr:row>
      <xdr:rowOff>114300</xdr:rowOff>
    </xdr:from>
    <xdr:to>
      <xdr:col>18</xdr:col>
      <xdr:colOff>447675</xdr:colOff>
      <xdr:row>20</xdr:row>
      <xdr:rowOff>180975</xdr:rowOff>
    </xdr:to>
    <xdr:sp macro="[0]!RectangleRoundedCorners49_Click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AFF11EF5-A2D5-4F36-AEEB-DE22F37EEC7B}"/>
            </a:ext>
          </a:extLst>
        </xdr:cNvPr>
        <xdr:cNvSpPr/>
      </xdr:nvSpPr>
      <xdr:spPr>
        <a:xfrm>
          <a:off x="12677775" y="4524375"/>
          <a:ext cx="2390775" cy="638175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Loan</a:t>
          </a:r>
          <a:r>
            <a:rPr lang="en-US" sz="1800" b="0" cap="none" spc="0" baseline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 Terms</a:t>
          </a:r>
          <a:endParaRPr lang="en-US" sz="1800" b="0" cap="none" spc="0">
            <a:ln>
              <a:noFill/>
            </a:ln>
            <a:solidFill>
              <a:schemeClr val="bg1"/>
            </a:solidFill>
            <a:effectLst/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5562600</xdr:colOff>
      <xdr:row>25</xdr:row>
      <xdr:rowOff>28576</xdr:rowOff>
    </xdr:from>
    <xdr:to>
      <xdr:col>16</xdr:col>
      <xdr:colOff>285750</xdr:colOff>
      <xdr:row>27</xdr:row>
      <xdr:rowOff>180976</xdr:rowOff>
    </xdr:to>
    <xdr:sp macro="[0]!RectangleRoundedCorners50_Click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6218AAF6-4FC4-4241-87FE-A32E8C0CA993}"/>
            </a:ext>
          </a:extLst>
        </xdr:cNvPr>
        <xdr:cNvSpPr/>
      </xdr:nvSpPr>
      <xdr:spPr>
        <a:xfrm>
          <a:off x="11458575" y="5962651"/>
          <a:ext cx="2228850" cy="533400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Department</a:t>
          </a:r>
          <a:r>
            <a:rPr lang="en-US" sz="1600" b="0" cap="none" spc="0" baseline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 Positions</a:t>
          </a:r>
          <a:endParaRPr lang="en-US" sz="1600" b="0" cap="none" spc="0">
            <a:ln>
              <a:noFill/>
            </a:ln>
            <a:solidFill>
              <a:schemeClr val="bg1"/>
            </a:solidFill>
            <a:effectLst/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495300</xdr:colOff>
      <xdr:row>21</xdr:row>
      <xdr:rowOff>76201</xdr:rowOff>
    </xdr:from>
    <xdr:to>
      <xdr:col>18</xdr:col>
      <xdr:colOff>409575</xdr:colOff>
      <xdr:row>24</xdr:row>
      <xdr:rowOff>142875</xdr:rowOff>
    </xdr:to>
    <xdr:sp macro="[0]!RectangleRoundedCorners51_Click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7AF4EF96-10E5-45D1-8036-263CC82D6F0D}"/>
            </a:ext>
          </a:extLst>
        </xdr:cNvPr>
        <xdr:cNvSpPr/>
      </xdr:nvSpPr>
      <xdr:spPr>
        <a:xfrm>
          <a:off x="12677775" y="5248276"/>
          <a:ext cx="2352675" cy="638174"/>
        </a:xfrm>
        <a:prstGeom prst="round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 Mitigating</a:t>
          </a:r>
          <a:r>
            <a:rPr lang="en-US" sz="1800" b="0" cap="none" spc="0" baseline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 Factors</a:t>
          </a:r>
          <a:endParaRPr lang="en-US" sz="1800" b="0" cap="none" spc="0">
            <a:ln>
              <a:noFill/>
            </a:ln>
            <a:solidFill>
              <a:schemeClr val="bg1"/>
            </a:solidFill>
            <a:effectLst/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447675</xdr:colOff>
      <xdr:row>8</xdr:row>
      <xdr:rowOff>104775</xdr:rowOff>
    </xdr:from>
    <xdr:to>
      <xdr:col>13</xdr:col>
      <xdr:colOff>581025</xdr:colOff>
      <xdr:row>9</xdr:row>
      <xdr:rowOff>152400</xdr:rowOff>
    </xdr:to>
    <xdr:sp macro="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1437A4C9-9E36-4BFB-A100-F0A6E907E2D9}"/>
            </a:ext>
          </a:extLst>
        </xdr:cNvPr>
        <xdr:cNvSpPr/>
      </xdr:nvSpPr>
      <xdr:spPr>
        <a:xfrm>
          <a:off x="3200400" y="1628775"/>
          <a:ext cx="3276600" cy="552450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200" b="0" u="sng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Checklist Details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1990724</xdr:colOff>
      <xdr:row>4</xdr:row>
      <xdr:rowOff>156224</xdr:rowOff>
    </xdr:from>
    <xdr:ext cx="3438526" cy="1176084"/>
    <xdr:pic>
      <xdr:nvPicPr>
        <xdr:cNvPr id="3" name="Picture 2">
          <a:extLst>
            <a:ext uri="{FF2B5EF4-FFF2-40B4-BE49-F238E27FC236}">
              <a16:creationId xmlns:a16="http://schemas.microsoft.com/office/drawing/2014/main" id="{A1223BFD-B09F-46DE-8D1B-25ACE26A3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1849" y="1127774"/>
          <a:ext cx="3438526" cy="1176084"/>
        </a:xfrm>
        <a:prstGeom prst="rect">
          <a:avLst/>
        </a:prstGeom>
        <a:ln w="190500" cap="sq">
          <a:solidFill>
            <a:srgbClr val="C8C6BD"/>
          </a:solidFill>
          <a:prstDash val="solid"/>
          <a:miter lim="800000"/>
        </a:ln>
        <a:effectLst>
          <a:outerShdw blurRad="254000" algn="bl" rotWithShape="0">
            <a:srgbClr val="000000">
              <a:alpha val="43000"/>
            </a:srgbClr>
          </a:outerShdw>
        </a:effectLst>
        <a:scene3d>
          <a:camera prst="perspectiveFront" fov="5400000"/>
          <a:lightRig rig="threePt" dir="t">
            <a:rot lat="0" lon="0" rev="21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oneCellAnchor>
  <xdr:twoCellAnchor>
    <xdr:from>
      <xdr:col>24</xdr:col>
      <xdr:colOff>2333625</xdr:colOff>
      <xdr:row>6</xdr:row>
      <xdr:rowOff>104775</xdr:rowOff>
    </xdr:from>
    <xdr:to>
      <xdr:col>26</xdr:col>
      <xdr:colOff>742951</xdr:colOff>
      <xdr:row>9</xdr:row>
      <xdr:rowOff>133351</xdr:rowOff>
    </xdr:to>
    <xdr:sp macro="[0]!RectangleRoundedCorners52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4B2FDDC-B6EA-43B2-B468-6A828A044821}"/>
            </a:ext>
          </a:extLst>
        </xdr:cNvPr>
        <xdr:cNvSpPr/>
      </xdr:nvSpPr>
      <xdr:spPr>
        <a:xfrm>
          <a:off x="11334750" y="1400175"/>
          <a:ext cx="2781301" cy="514351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Return to Wizard!</a:t>
          </a:r>
        </a:p>
      </xdr:txBody>
    </xdr:sp>
    <xdr:clientData/>
  </xdr:twoCellAnchor>
  <xdr:oneCellAnchor>
    <xdr:from>
      <xdr:col>25</xdr:col>
      <xdr:colOff>66675</xdr:colOff>
      <xdr:row>70</xdr:row>
      <xdr:rowOff>247650</xdr:rowOff>
    </xdr:from>
    <xdr:ext cx="3438526" cy="1176084"/>
    <xdr:pic>
      <xdr:nvPicPr>
        <xdr:cNvPr id="6" name="Picture 5">
          <a:extLst>
            <a:ext uri="{FF2B5EF4-FFF2-40B4-BE49-F238E27FC236}">
              <a16:creationId xmlns:a16="http://schemas.microsoft.com/office/drawing/2014/main" id="{428E3F74-9ABC-4677-97C7-2D97F6174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34825" y="12925425"/>
          <a:ext cx="3438526" cy="1176084"/>
        </a:xfrm>
        <a:prstGeom prst="rect">
          <a:avLst/>
        </a:prstGeom>
        <a:ln w="190500" cap="sq">
          <a:solidFill>
            <a:srgbClr val="C8C6BD"/>
          </a:solidFill>
          <a:prstDash val="solid"/>
          <a:miter lim="800000"/>
        </a:ln>
        <a:effectLst>
          <a:outerShdw blurRad="254000" algn="bl" rotWithShape="0">
            <a:srgbClr val="000000">
              <a:alpha val="43000"/>
            </a:srgbClr>
          </a:outerShdw>
        </a:effectLst>
        <a:scene3d>
          <a:camera prst="perspectiveFront" fov="5400000"/>
          <a:lightRig rig="threePt" dir="t">
            <a:rot lat="0" lon="0" rev="21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oneCellAnchor>
  <xdr:twoCellAnchor>
    <xdr:from>
      <xdr:col>25</xdr:col>
      <xdr:colOff>409576</xdr:colOff>
      <xdr:row>71</xdr:row>
      <xdr:rowOff>167626</xdr:rowOff>
    </xdr:from>
    <xdr:to>
      <xdr:col>26</xdr:col>
      <xdr:colOff>1685927</xdr:colOff>
      <xdr:row>73</xdr:row>
      <xdr:rowOff>158102</xdr:rowOff>
    </xdr:to>
    <xdr:sp macro="[0]!RectangleRoundedCorners52_Clic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8CF62D7-9B1E-44FA-98DE-B469CC1DB0EC}"/>
            </a:ext>
          </a:extLst>
        </xdr:cNvPr>
        <xdr:cNvSpPr/>
      </xdr:nvSpPr>
      <xdr:spPr>
        <a:xfrm>
          <a:off x="12277726" y="13197826"/>
          <a:ext cx="2781301" cy="514351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Return to Wizard!</a:t>
          </a:r>
        </a:p>
      </xdr:txBody>
    </xdr:sp>
    <xdr:clientData/>
  </xdr:twoCellAnchor>
  <xdr:oneCellAnchor>
    <xdr:from>
      <xdr:col>25</xdr:col>
      <xdr:colOff>76200</xdr:colOff>
      <xdr:row>52</xdr:row>
      <xdr:rowOff>38100</xdr:rowOff>
    </xdr:from>
    <xdr:ext cx="3438526" cy="1176084"/>
    <xdr:pic>
      <xdr:nvPicPr>
        <xdr:cNvPr id="8" name="Picture 7">
          <a:extLst>
            <a:ext uri="{FF2B5EF4-FFF2-40B4-BE49-F238E27FC236}">
              <a16:creationId xmlns:a16="http://schemas.microsoft.com/office/drawing/2014/main" id="{7B2E34DB-1E03-414B-B57D-0F5F7AD46D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44350" y="9525000"/>
          <a:ext cx="3438526" cy="1176084"/>
        </a:xfrm>
        <a:prstGeom prst="rect">
          <a:avLst/>
        </a:prstGeom>
        <a:ln w="190500" cap="sq">
          <a:solidFill>
            <a:srgbClr val="C8C6BD"/>
          </a:solidFill>
          <a:prstDash val="solid"/>
          <a:miter lim="800000"/>
        </a:ln>
        <a:effectLst>
          <a:outerShdw blurRad="254000" algn="bl" rotWithShape="0">
            <a:srgbClr val="000000">
              <a:alpha val="43000"/>
            </a:srgbClr>
          </a:outerShdw>
        </a:effectLst>
        <a:scene3d>
          <a:camera prst="perspectiveFront" fov="5400000"/>
          <a:lightRig rig="threePt" dir="t">
            <a:rot lat="0" lon="0" rev="21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oneCellAnchor>
  <xdr:twoCellAnchor>
    <xdr:from>
      <xdr:col>25</xdr:col>
      <xdr:colOff>361951</xdr:colOff>
      <xdr:row>53</xdr:row>
      <xdr:rowOff>139051</xdr:rowOff>
    </xdr:from>
    <xdr:to>
      <xdr:col>26</xdr:col>
      <xdr:colOff>1638302</xdr:colOff>
      <xdr:row>57</xdr:row>
      <xdr:rowOff>167627</xdr:rowOff>
    </xdr:to>
    <xdr:sp macro="[0]!RectangleRoundedCorners52_Click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4B7BBD6-1F36-4E98-9830-EEC6282003C1}"/>
            </a:ext>
          </a:extLst>
        </xdr:cNvPr>
        <xdr:cNvSpPr/>
      </xdr:nvSpPr>
      <xdr:spPr>
        <a:xfrm>
          <a:off x="12230101" y="9787876"/>
          <a:ext cx="2781301" cy="514351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Return to Wizard!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</xdr:row>
      <xdr:rowOff>123825</xdr:rowOff>
    </xdr:from>
    <xdr:to>
      <xdr:col>1</xdr:col>
      <xdr:colOff>30480</xdr:colOff>
      <xdr:row>3</xdr:row>
      <xdr:rowOff>19050</xdr:rowOff>
    </xdr:to>
    <xdr:sp macro="" textlink="">
      <xdr:nvSpPr>
        <xdr:cNvPr id="2" name="Check Box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E436AB-003A-42A2-B115-568DC01AA0D9}"/>
            </a:ext>
          </a:extLst>
        </xdr:cNvPr>
        <xdr:cNvSpPr/>
      </xdr:nvSpPr>
      <xdr:spPr bwMode="auto">
        <a:xfrm>
          <a:off x="76200" y="436245"/>
          <a:ext cx="563880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76200</xdr:colOff>
      <xdr:row>3</xdr:row>
      <xdr:rowOff>133350</xdr:rowOff>
    </xdr:from>
    <xdr:to>
      <xdr:col>1</xdr:col>
      <xdr:colOff>30480</xdr:colOff>
      <xdr:row>5</xdr:row>
      <xdr:rowOff>28575</xdr:rowOff>
    </xdr:to>
    <xdr:sp macro="" textlink="">
      <xdr:nvSpPr>
        <xdr:cNvPr id="3" name="Check Box 2" hidden="1">
          <a:extLst>
            <a:ext uri="{63B3BB69-23CF-44E3-9099-C40C66FF867C}">
              <a14:compatExt xmlns:a14="http://schemas.microsoft.com/office/drawing/2010/main" spid="_x0000_s6146"/>
            </a:ext>
            <a:ext uri="{FF2B5EF4-FFF2-40B4-BE49-F238E27FC236}">
              <a16:creationId xmlns:a16="http://schemas.microsoft.com/office/drawing/2014/main" id="{D0F90094-D4F4-4868-B35B-A11598AC73AA}"/>
            </a:ext>
          </a:extLst>
        </xdr:cNvPr>
        <xdr:cNvSpPr/>
      </xdr:nvSpPr>
      <xdr:spPr bwMode="auto">
        <a:xfrm>
          <a:off x="76200" y="781050"/>
          <a:ext cx="563880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76200</xdr:colOff>
      <xdr:row>5</xdr:row>
      <xdr:rowOff>133350</xdr:rowOff>
    </xdr:from>
    <xdr:to>
      <xdr:col>1</xdr:col>
      <xdr:colOff>30480</xdr:colOff>
      <xdr:row>7</xdr:row>
      <xdr:rowOff>28575</xdr:rowOff>
    </xdr:to>
    <xdr:sp macro="" textlink="">
      <xdr:nvSpPr>
        <xdr:cNvPr id="4" name="Check Box 3" hidden="1">
          <a:extLst>
            <a:ext uri="{63B3BB69-23CF-44E3-9099-C40C66FF867C}">
              <a14:compatExt xmlns:a14="http://schemas.microsoft.com/office/drawing/2010/main" spid="_x0000_s6147"/>
            </a:ext>
            <a:ext uri="{FF2B5EF4-FFF2-40B4-BE49-F238E27FC236}">
              <a16:creationId xmlns:a16="http://schemas.microsoft.com/office/drawing/2014/main" id="{B0C59BC5-34FD-48A7-AB08-19EA95655B59}"/>
            </a:ext>
          </a:extLst>
        </xdr:cNvPr>
        <xdr:cNvSpPr/>
      </xdr:nvSpPr>
      <xdr:spPr bwMode="auto">
        <a:xfrm>
          <a:off x="76200" y="1116330"/>
          <a:ext cx="563880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76200</xdr:colOff>
      <xdr:row>7</xdr:row>
      <xdr:rowOff>114300</xdr:rowOff>
    </xdr:from>
    <xdr:to>
      <xdr:col>1</xdr:col>
      <xdr:colOff>30480</xdr:colOff>
      <xdr:row>9</xdr:row>
      <xdr:rowOff>9525</xdr:rowOff>
    </xdr:to>
    <xdr:sp macro="" textlink="">
      <xdr:nvSpPr>
        <xdr:cNvPr id="5" name="Check Box 4" hidden="1">
          <a:extLst>
            <a:ext uri="{63B3BB69-23CF-44E3-9099-C40C66FF867C}">
              <a14:compatExt xmlns:a14="http://schemas.microsoft.com/office/drawing/2010/main" spid="_x0000_s6148"/>
            </a:ext>
            <a:ext uri="{FF2B5EF4-FFF2-40B4-BE49-F238E27FC236}">
              <a16:creationId xmlns:a16="http://schemas.microsoft.com/office/drawing/2014/main" id="{22980BA1-892F-480B-B3DE-D1446A502E83}"/>
            </a:ext>
          </a:extLst>
        </xdr:cNvPr>
        <xdr:cNvSpPr/>
      </xdr:nvSpPr>
      <xdr:spPr bwMode="auto">
        <a:xfrm>
          <a:off x="76200" y="1432560"/>
          <a:ext cx="563880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76200</xdr:colOff>
      <xdr:row>9</xdr:row>
      <xdr:rowOff>123825</xdr:rowOff>
    </xdr:from>
    <xdr:to>
      <xdr:col>1</xdr:col>
      <xdr:colOff>30480</xdr:colOff>
      <xdr:row>11</xdr:row>
      <xdr:rowOff>19050</xdr:rowOff>
    </xdr:to>
    <xdr:sp macro="" textlink="">
      <xdr:nvSpPr>
        <xdr:cNvPr id="6" name="Check Box 5" hidden="1">
          <a:extLst>
            <a:ext uri="{63B3BB69-23CF-44E3-9099-C40C66FF867C}">
              <a14:compatExt xmlns:a14="http://schemas.microsoft.com/office/drawing/2010/main" spid="_x0000_s6149"/>
            </a:ext>
            <a:ext uri="{FF2B5EF4-FFF2-40B4-BE49-F238E27FC236}">
              <a16:creationId xmlns:a16="http://schemas.microsoft.com/office/drawing/2014/main" id="{843521B5-4C11-4A96-BAD2-38C67A1BE83E}"/>
            </a:ext>
          </a:extLst>
        </xdr:cNvPr>
        <xdr:cNvSpPr/>
      </xdr:nvSpPr>
      <xdr:spPr bwMode="auto">
        <a:xfrm>
          <a:off x="76200" y="1777365"/>
          <a:ext cx="563880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76200</xdr:colOff>
      <xdr:row>11</xdr:row>
      <xdr:rowOff>123825</xdr:rowOff>
    </xdr:from>
    <xdr:to>
      <xdr:col>1</xdr:col>
      <xdr:colOff>30480</xdr:colOff>
      <xdr:row>13</xdr:row>
      <xdr:rowOff>19050</xdr:rowOff>
    </xdr:to>
    <xdr:sp macro="" textlink="">
      <xdr:nvSpPr>
        <xdr:cNvPr id="7" name="Check Box 6" hidden="1">
          <a:extLst>
            <a:ext uri="{63B3BB69-23CF-44E3-9099-C40C66FF867C}">
              <a14:compatExt xmlns:a14="http://schemas.microsoft.com/office/drawing/2010/main" spid="_x0000_s6150"/>
            </a:ext>
            <a:ext uri="{FF2B5EF4-FFF2-40B4-BE49-F238E27FC236}">
              <a16:creationId xmlns:a16="http://schemas.microsoft.com/office/drawing/2014/main" id="{F524E254-98EF-47B2-B72F-DCB5C5ECF9AA}"/>
            </a:ext>
          </a:extLst>
        </xdr:cNvPr>
        <xdr:cNvSpPr/>
      </xdr:nvSpPr>
      <xdr:spPr bwMode="auto">
        <a:xfrm>
          <a:off x="76200" y="2112645"/>
          <a:ext cx="563880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76200</xdr:colOff>
      <xdr:row>13</xdr:row>
      <xdr:rowOff>123825</xdr:rowOff>
    </xdr:from>
    <xdr:to>
      <xdr:col>1</xdr:col>
      <xdr:colOff>30480</xdr:colOff>
      <xdr:row>15</xdr:row>
      <xdr:rowOff>19050</xdr:rowOff>
    </xdr:to>
    <xdr:sp macro="" textlink="">
      <xdr:nvSpPr>
        <xdr:cNvPr id="8" name="Check Box 7" hidden="1">
          <a:extLst>
            <a:ext uri="{63B3BB69-23CF-44E3-9099-C40C66FF867C}">
              <a14:compatExt xmlns:a14="http://schemas.microsoft.com/office/drawing/2010/main" spid="_x0000_s6151"/>
            </a:ext>
            <a:ext uri="{FF2B5EF4-FFF2-40B4-BE49-F238E27FC236}">
              <a16:creationId xmlns:a16="http://schemas.microsoft.com/office/drawing/2014/main" id="{2CA4A2AE-10C5-4E2D-ACE5-161C8F8311BF}"/>
            </a:ext>
          </a:extLst>
        </xdr:cNvPr>
        <xdr:cNvSpPr/>
      </xdr:nvSpPr>
      <xdr:spPr bwMode="auto">
        <a:xfrm>
          <a:off x="76200" y="2447925"/>
          <a:ext cx="563880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76200</xdr:colOff>
      <xdr:row>15</xdr:row>
      <xdr:rowOff>123825</xdr:rowOff>
    </xdr:from>
    <xdr:to>
      <xdr:col>1</xdr:col>
      <xdr:colOff>30480</xdr:colOff>
      <xdr:row>17</xdr:row>
      <xdr:rowOff>19050</xdr:rowOff>
    </xdr:to>
    <xdr:sp macro="" textlink="">
      <xdr:nvSpPr>
        <xdr:cNvPr id="9" name="Check Box 8" hidden="1">
          <a:extLst>
            <a:ext uri="{63B3BB69-23CF-44E3-9099-C40C66FF867C}">
              <a14:compatExt xmlns:a14="http://schemas.microsoft.com/office/drawing/2010/main" spid="_x0000_s6152"/>
            </a:ext>
            <a:ext uri="{FF2B5EF4-FFF2-40B4-BE49-F238E27FC236}">
              <a16:creationId xmlns:a16="http://schemas.microsoft.com/office/drawing/2014/main" id="{4EAB074F-C19F-49B6-8261-7B9AF8996F23}"/>
            </a:ext>
          </a:extLst>
        </xdr:cNvPr>
        <xdr:cNvSpPr/>
      </xdr:nvSpPr>
      <xdr:spPr bwMode="auto">
        <a:xfrm>
          <a:off x="76200" y="2783205"/>
          <a:ext cx="563880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76200</xdr:colOff>
      <xdr:row>17</xdr:row>
      <xdr:rowOff>123825</xdr:rowOff>
    </xdr:from>
    <xdr:to>
      <xdr:col>1</xdr:col>
      <xdr:colOff>30480</xdr:colOff>
      <xdr:row>19</xdr:row>
      <xdr:rowOff>19050</xdr:rowOff>
    </xdr:to>
    <xdr:sp macro="" textlink="">
      <xdr:nvSpPr>
        <xdr:cNvPr id="10" name="Check Box 9" hidden="1">
          <a:extLst>
            <a:ext uri="{63B3BB69-23CF-44E3-9099-C40C66FF867C}">
              <a14:compatExt xmlns:a14="http://schemas.microsoft.com/office/drawing/2010/main" spid="_x0000_s6153"/>
            </a:ext>
            <a:ext uri="{FF2B5EF4-FFF2-40B4-BE49-F238E27FC236}">
              <a16:creationId xmlns:a16="http://schemas.microsoft.com/office/drawing/2014/main" id="{4889ED18-8DE5-4C22-95AD-6C1182F302C6}"/>
            </a:ext>
          </a:extLst>
        </xdr:cNvPr>
        <xdr:cNvSpPr/>
      </xdr:nvSpPr>
      <xdr:spPr bwMode="auto">
        <a:xfrm>
          <a:off x="76200" y="3118485"/>
          <a:ext cx="563880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76200</xdr:colOff>
      <xdr:row>19</xdr:row>
      <xdr:rowOff>123825</xdr:rowOff>
    </xdr:from>
    <xdr:to>
      <xdr:col>1</xdr:col>
      <xdr:colOff>30480</xdr:colOff>
      <xdr:row>21</xdr:row>
      <xdr:rowOff>19050</xdr:rowOff>
    </xdr:to>
    <xdr:sp macro="" textlink="">
      <xdr:nvSpPr>
        <xdr:cNvPr id="11" name="Check Box 10" hidden="1">
          <a:extLst>
            <a:ext uri="{63B3BB69-23CF-44E3-9099-C40C66FF867C}">
              <a14:compatExt xmlns:a14="http://schemas.microsoft.com/office/drawing/2010/main" spid="_x0000_s6154"/>
            </a:ext>
            <a:ext uri="{FF2B5EF4-FFF2-40B4-BE49-F238E27FC236}">
              <a16:creationId xmlns:a16="http://schemas.microsoft.com/office/drawing/2014/main" id="{FB76856D-6A79-4582-A008-0161A3163804}"/>
            </a:ext>
          </a:extLst>
        </xdr:cNvPr>
        <xdr:cNvSpPr/>
      </xdr:nvSpPr>
      <xdr:spPr bwMode="auto">
        <a:xfrm>
          <a:off x="76200" y="3453765"/>
          <a:ext cx="563880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76200</xdr:colOff>
      <xdr:row>21</xdr:row>
      <xdr:rowOff>123825</xdr:rowOff>
    </xdr:from>
    <xdr:to>
      <xdr:col>1</xdr:col>
      <xdr:colOff>30480</xdr:colOff>
      <xdr:row>23</xdr:row>
      <xdr:rowOff>19050</xdr:rowOff>
    </xdr:to>
    <xdr:sp macro="" textlink="">
      <xdr:nvSpPr>
        <xdr:cNvPr id="12" name="Check Box 11" hidden="1">
          <a:extLst>
            <a:ext uri="{63B3BB69-23CF-44E3-9099-C40C66FF867C}">
              <a14:compatExt xmlns:a14="http://schemas.microsoft.com/office/drawing/2010/main" spid="_x0000_s6155"/>
            </a:ext>
            <a:ext uri="{FF2B5EF4-FFF2-40B4-BE49-F238E27FC236}">
              <a16:creationId xmlns:a16="http://schemas.microsoft.com/office/drawing/2014/main" id="{68FC68FD-9271-45DB-AC78-B3B45684DF33}"/>
            </a:ext>
          </a:extLst>
        </xdr:cNvPr>
        <xdr:cNvSpPr/>
      </xdr:nvSpPr>
      <xdr:spPr bwMode="auto">
        <a:xfrm>
          <a:off x="76200" y="3789045"/>
          <a:ext cx="563880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76200</xdr:colOff>
      <xdr:row>23</xdr:row>
      <xdr:rowOff>123825</xdr:rowOff>
    </xdr:from>
    <xdr:to>
      <xdr:col>1</xdr:col>
      <xdr:colOff>30480</xdr:colOff>
      <xdr:row>25</xdr:row>
      <xdr:rowOff>19050</xdr:rowOff>
    </xdr:to>
    <xdr:sp macro="" textlink="">
      <xdr:nvSpPr>
        <xdr:cNvPr id="13" name="Check Box 12" hidden="1">
          <a:extLst>
            <a:ext uri="{63B3BB69-23CF-44E3-9099-C40C66FF867C}">
              <a14:compatExt xmlns:a14="http://schemas.microsoft.com/office/drawing/2010/main" spid="_x0000_s6156"/>
            </a:ext>
            <a:ext uri="{FF2B5EF4-FFF2-40B4-BE49-F238E27FC236}">
              <a16:creationId xmlns:a16="http://schemas.microsoft.com/office/drawing/2014/main" id="{6E1DD7BD-EA81-4811-93DA-4515689D94C8}"/>
            </a:ext>
          </a:extLst>
        </xdr:cNvPr>
        <xdr:cNvSpPr/>
      </xdr:nvSpPr>
      <xdr:spPr bwMode="auto">
        <a:xfrm>
          <a:off x="76200" y="4124325"/>
          <a:ext cx="563880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76200</xdr:colOff>
      <xdr:row>25</xdr:row>
      <xdr:rowOff>123825</xdr:rowOff>
    </xdr:from>
    <xdr:to>
      <xdr:col>1</xdr:col>
      <xdr:colOff>30480</xdr:colOff>
      <xdr:row>27</xdr:row>
      <xdr:rowOff>19050</xdr:rowOff>
    </xdr:to>
    <xdr:sp macro="" textlink="">
      <xdr:nvSpPr>
        <xdr:cNvPr id="14" name="Check Box 13" hidden="1">
          <a:extLst>
            <a:ext uri="{63B3BB69-23CF-44E3-9099-C40C66FF867C}">
              <a14:compatExt xmlns:a14="http://schemas.microsoft.com/office/drawing/2010/main" spid="_x0000_s6157"/>
            </a:ext>
            <a:ext uri="{FF2B5EF4-FFF2-40B4-BE49-F238E27FC236}">
              <a16:creationId xmlns:a16="http://schemas.microsoft.com/office/drawing/2014/main" id="{03036367-B1A0-41A4-9AF7-2EC3CA3A2677}"/>
            </a:ext>
          </a:extLst>
        </xdr:cNvPr>
        <xdr:cNvSpPr/>
      </xdr:nvSpPr>
      <xdr:spPr bwMode="auto">
        <a:xfrm>
          <a:off x="76200" y="4459605"/>
          <a:ext cx="563880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76200</xdr:colOff>
      <xdr:row>31</xdr:row>
      <xdr:rowOff>123825</xdr:rowOff>
    </xdr:from>
    <xdr:to>
      <xdr:col>1</xdr:col>
      <xdr:colOff>30480</xdr:colOff>
      <xdr:row>33</xdr:row>
      <xdr:rowOff>19050</xdr:rowOff>
    </xdr:to>
    <xdr:sp macro="" textlink="">
      <xdr:nvSpPr>
        <xdr:cNvPr id="15" name="Check Box 14" hidden="1">
          <a:extLst>
            <a:ext uri="{63B3BB69-23CF-44E3-9099-C40C66FF867C}">
              <a14:compatExt xmlns:a14="http://schemas.microsoft.com/office/drawing/2010/main" spid="_x0000_s6158"/>
            </a:ext>
            <a:ext uri="{FF2B5EF4-FFF2-40B4-BE49-F238E27FC236}">
              <a16:creationId xmlns:a16="http://schemas.microsoft.com/office/drawing/2014/main" id="{68B28159-F0BB-4C17-A2DE-D893A87263FC}"/>
            </a:ext>
          </a:extLst>
        </xdr:cNvPr>
        <xdr:cNvSpPr/>
      </xdr:nvSpPr>
      <xdr:spPr bwMode="auto">
        <a:xfrm>
          <a:off x="76200" y="5465445"/>
          <a:ext cx="563880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76200</xdr:colOff>
      <xdr:row>29</xdr:row>
      <xdr:rowOff>123825</xdr:rowOff>
    </xdr:from>
    <xdr:to>
      <xdr:col>1</xdr:col>
      <xdr:colOff>30480</xdr:colOff>
      <xdr:row>31</xdr:row>
      <xdr:rowOff>19050</xdr:rowOff>
    </xdr:to>
    <xdr:sp macro="" textlink="">
      <xdr:nvSpPr>
        <xdr:cNvPr id="16" name="Check Box 15" hidden="1">
          <a:extLst>
            <a:ext uri="{63B3BB69-23CF-44E3-9099-C40C66FF867C}">
              <a14:compatExt xmlns:a14="http://schemas.microsoft.com/office/drawing/2010/main" spid="_x0000_s6159"/>
            </a:ext>
            <a:ext uri="{FF2B5EF4-FFF2-40B4-BE49-F238E27FC236}">
              <a16:creationId xmlns:a16="http://schemas.microsoft.com/office/drawing/2014/main" id="{F78DB996-B765-4B71-9B9A-D7F359289F3D}"/>
            </a:ext>
          </a:extLst>
        </xdr:cNvPr>
        <xdr:cNvSpPr/>
      </xdr:nvSpPr>
      <xdr:spPr bwMode="auto">
        <a:xfrm>
          <a:off x="76200" y="5130165"/>
          <a:ext cx="563880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76200</xdr:colOff>
      <xdr:row>27</xdr:row>
      <xdr:rowOff>123825</xdr:rowOff>
    </xdr:from>
    <xdr:to>
      <xdr:col>1</xdr:col>
      <xdr:colOff>30480</xdr:colOff>
      <xdr:row>29</xdr:row>
      <xdr:rowOff>19050</xdr:rowOff>
    </xdr:to>
    <xdr:sp macro="" textlink="">
      <xdr:nvSpPr>
        <xdr:cNvPr id="17" name="Check Box 16" hidden="1">
          <a:extLst>
            <a:ext uri="{63B3BB69-23CF-44E3-9099-C40C66FF867C}">
              <a14:compatExt xmlns:a14="http://schemas.microsoft.com/office/drawing/2010/main" spid="_x0000_s6160"/>
            </a:ext>
            <a:ext uri="{FF2B5EF4-FFF2-40B4-BE49-F238E27FC236}">
              <a16:creationId xmlns:a16="http://schemas.microsoft.com/office/drawing/2014/main" id="{2D4DCB6B-7627-438B-95BA-FE37360E9A09}"/>
            </a:ext>
          </a:extLst>
        </xdr:cNvPr>
        <xdr:cNvSpPr/>
      </xdr:nvSpPr>
      <xdr:spPr bwMode="auto">
        <a:xfrm>
          <a:off x="76200" y="4794885"/>
          <a:ext cx="563880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85725</xdr:colOff>
      <xdr:row>2</xdr:row>
      <xdr:rowOff>133350</xdr:rowOff>
    </xdr:from>
    <xdr:to>
      <xdr:col>9</xdr:col>
      <xdr:colOff>40005</xdr:colOff>
      <xdr:row>4</xdr:row>
      <xdr:rowOff>28575</xdr:rowOff>
    </xdr:to>
    <xdr:sp macro="" textlink="">
      <xdr:nvSpPr>
        <xdr:cNvPr id="18" name="Check Box 17" hidden="1">
          <a:extLst>
            <a:ext uri="{63B3BB69-23CF-44E3-9099-C40C66FF867C}">
              <a14:compatExt xmlns:a14="http://schemas.microsoft.com/office/drawing/2010/main" spid="_x0000_s6161"/>
            </a:ext>
            <a:ext uri="{FF2B5EF4-FFF2-40B4-BE49-F238E27FC236}">
              <a16:creationId xmlns:a16="http://schemas.microsoft.com/office/drawing/2014/main" id="{8C8418D5-CA84-472F-A5F7-C2678ADB8D5C}"/>
            </a:ext>
          </a:extLst>
        </xdr:cNvPr>
        <xdr:cNvSpPr/>
      </xdr:nvSpPr>
      <xdr:spPr bwMode="auto">
        <a:xfrm>
          <a:off x="2790825" y="613410"/>
          <a:ext cx="563880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76200</xdr:colOff>
      <xdr:row>4</xdr:row>
      <xdr:rowOff>123825</xdr:rowOff>
    </xdr:from>
    <xdr:to>
      <xdr:col>9</xdr:col>
      <xdr:colOff>30480</xdr:colOff>
      <xdr:row>6</xdr:row>
      <xdr:rowOff>19050</xdr:rowOff>
    </xdr:to>
    <xdr:sp macro="" textlink="">
      <xdr:nvSpPr>
        <xdr:cNvPr id="19" name="Check Box 18" hidden="1">
          <a:extLst>
            <a:ext uri="{63B3BB69-23CF-44E3-9099-C40C66FF867C}">
              <a14:compatExt xmlns:a14="http://schemas.microsoft.com/office/drawing/2010/main" spid="_x0000_s6162"/>
            </a:ext>
            <a:ext uri="{FF2B5EF4-FFF2-40B4-BE49-F238E27FC236}">
              <a16:creationId xmlns:a16="http://schemas.microsoft.com/office/drawing/2014/main" id="{E2C97ADC-8B96-4F2F-AFB1-3476D5C8057E}"/>
            </a:ext>
          </a:extLst>
        </xdr:cNvPr>
        <xdr:cNvSpPr/>
      </xdr:nvSpPr>
      <xdr:spPr bwMode="auto">
        <a:xfrm>
          <a:off x="2781300" y="939165"/>
          <a:ext cx="563880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76200</xdr:colOff>
      <xdr:row>8</xdr:row>
      <xdr:rowOff>123825</xdr:rowOff>
    </xdr:from>
    <xdr:to>
      <xdr:col>9</xdr:col>
      <xdr:colOff>30480</xdr:colOff>
      <xdr:row>10</xdr:row>
      <xdr:rowOff>19050</xdr:rowOff>
    </xdr:to>
    <xdr:sp macro="" textlink="">
      <xdr:nvSpPr>
        <xdr:cNvPr id="20" name="Check Box 19" hidden="1">
          <a:extLst>
            <a:ext uri="{63B3BB69-23CF-44E3-9099-C40C66FF867C}">
              <a14:compatExt xmlns:a14="http://schemas.microsoft.com/office/drawing/2010/main" spid="_x0000_s6163"/>
            </a:ext>
            <a:ext uri="{FF2B5EF4-FFF2-40B4-BE49-F238E27FC236}">
              <a16:creationId xmlns:a16="http://schemas.microsoft.com/office/drawing/2014/main" id="{E98DC223-4388-4AD1-AC67-AF2134178603}"/>
            </a:ext>
          </a:extLst>
        </xdr:cNvPr>
        <xdr:cNvSpPr/>
      </xdr:nvSpPr>
      <xdr:spPr bwMode="auto">
        <a:xfrm>
          <a:off x="2781300" y="1609725"/>
          <a:ext cx="563880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76200</xdr:colOff>
      <xdr:row>12</xdr:row>
      <xdr:rowOff>133350</xdr:rowOff>
    </xdr:from>
    <xdr:to>
      <xdr:col>9</xdr:col>
      <xdr:colOff>30480</xdr:colOff>
      <xdr:row>14</xdr:row>
      <xdr:rowOff>28575</xdr:rowOff>
    </xdr:to>
    <xdr:sp macro="" textlink="">
      <xdr:nvSpPr>
        <xdr:cNvPr id="21" name="Check Box 20" hidden="1">
          <a:extLst>
            <a:ext uri="{63B3BB69-23CF-44E3-9099-C40C66FF867C}">
              <a14:compatExt xmlns:a14="http://schemas.microsoft.com/office/drawing/2010/main" spid="_x0000_s6164"/>
            </a:ext>
            <a:ext uri="{FF2B5EF4-FFF2-40B4-BE49-F238E27FC236}">
              <a16:creationId xmlns:a16="http://schemas.microsoft.com/office/drawing/2014/main" id="{CCFF5530-01E1-45AE-8E00-4140F8CD1F71}"/>
            </a:ext>
          </a:extLst>
        </xdr:cNvPr>
        <xdr:cNvSpPr/>
      </xdr:nvSpPr>
      <xdr:spPr bwMode="auto">
        <a:xfrm>
          <a:off x="2781300" y="2289810"/>
          <a:ext cx="563880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76200</xdr:colOff>
      <xdr:row>10</xdr:row>
      <xdr:rowOff>133350</xdr:rowOff>
    </xdr:from>
    <xdr:to>
      <xdr:col>9</xdr:col>
      <xdr:colOff>30480</xdr:colOff>
      <xdr:row>12</xdr:row>
      <xdr:rowOff>28575</xdr:rowOff>
    </xdr:to>
    <xdr:sp macro="" textlink="">
      <xdr:nvSpPr>
        <xdr:cNvPr id="22" name="Check Box 21" hidden="1">
          <a:extLst>
            <a:ext uri="{63B3BB69-23CF-44E3-9099-C40C66FF867C}">
              <a14:compatExt xmlns:a14="http://schemas.microsoft.com/office/drawing/2010/main" spid="_x0000_s6165"/>
            </a:ext>
            <a:ext uri="{FF2B5EF4-FFF2-40B4-BE49-F238E27FC236}">
              <a16:creationId xmlns:a16="http://schemas.microsoft.com/office/drawing/2014/main" id="{E24E635C-1B3A-4C5C-AC79-00F96260A0AC}"/>
            </a:ext>
          </a:extLst>
        </xdr:cNvPr>
        <xdr:cNvSpPr/>
      </xdr:nvSpPr>
      <xdr:spPr bwMode="auto">
        <a:xfrm>
          <a:off x="2781300" y="1954530"/>
          <a:ext cx="563880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76200</xdr:colOff>
      <xdr:row>6</xdr:row>
      <xdr:rowOff>123825</xdr:rowOff>
    </xdr:from>
    <xdr:to>
      <xdr:col>9</xdr:col>
      <xdr:colOff>30480</xdr:colOff>
      <xdr:row>8</xdr:row>
      <xdr:rowOff>19050</xdr:rowOff>
    </xdr:to>
    <xdr:sp macro="" textlink="">
      <xdr:nvSpPr>
        <xdr:cNvPr id="23" name="Check Box 22" hidden="1">
          <a:extLst>
            <a:ext uri="{63B3BB69-23CF-44E3-9099-C40C66FF867C}">
              <a14:compatExt xmlns:a14="http://schemas.microsoft.com/office/drawing/2010/main" spid="_x0000_s6166"/>
            </a:ext>
            <a:ext uri="{FF2B5EF4-FFF2-40B4-BE49-F238E27FC236}">
              <a16:creationId xmlns:a16="http://schemas.microsoft.com/office/drawing/2014/main" id="{4A51FEE6-285A-4C56-958F-2D4FCC5502AA}"/>
            </a:ext>
          </a:extLst>
        </xdr:cNvPr>
        <xdr:cNvSpPr/>
      </xdr:nvSpPr>
      <xdr:spPr bwMode="auto">
        <a:xfrm>
          <a:off x="2781300" y="1274445"/>
          <a:ext cx="563880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66675</xdr:colOff>
      <xdr:row>16</xdr:row>
      <xdr:rowOff>133350</xdr:rowOff>
    </xdr:from>
    <xdr:to>
      <xdr:col>9</xdr:col>
      <xdr:colOff>15240</xdr:colOff>
      <xdr:row>18</xdr:row>
      <xdr:rowOff>28575</xdr:rowOff>
    </xdr:to>
    <xdr:sp macro="" textlink="">
      <xdr:nvSpPr>
        <xdr:cNvPr id="24" name="Check Box 23" hidden="1">
          <a:extLst>
            <a:ext uri="{63B3BB69-23CF-44E3-9099-C40C66FF867C}">
              <a14:compatExt xmlns:a14="http://schemas.microsoft.com/office/drawing/2010/main" spid="_x0000_s6167"/>
            </a:ext>
            <a:ext uri="{FF2B5EF4-FFF2-40B4-BE49-F238E27FC236}">
              <a16:creationId xmlns:a16="http://schemas.microsoft.com/office/drawing/2014/main" id="{801AF29E-9900-41A1-8FEE-0F22C50EC140}"/>
            </a:ext>
          </a:extLst>
        </xdr:cNvPr>
        <xdr:cNvSpPr/>
      </xdr:nvSpPr>
      <xdr:spPr bwMode="auto">
        <a:xfrm>
          <a:off x="2771775" y="2960370"/>
          <a:ext cx="558165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66675</xdr:colOff>
      <xdr:row>14</xdr:row>
      <xdr:rowOff>133350</xdr:rowOff>
    </xdr:from>
    <xdr:to>
      <xdr:col>9</xdr:col>
      <xdr:colOff>15240</xdr:colOff>
      <xdr:row>16</xdr:row>
      <xdr:rowOff>28575</xdr:rowOff>
    </xdr:to>
    <xdr:sp macro="" textlink="">
      <xdr:nvSpPr>
        <xdr:cNvPr id="25" name="Check Box 24" hidden="1">
          <a:extLst>
            <a:ext uri="{63B3BB69-23CF-44E3-9099-C40C66FF867C}">
              <a14:compatExt xmlns:a14="http://schemas.microsoft.com/office/drawing/2010/main" spid="_x0000_s6168"/>
            </a:ext>
            <a:ext uri="{FF2B5EF4-FFF2-40B4-BE49-F238E27FC236}">
              <a16:creationId xmlns:a16="http://schemas.microsoft.com/office/drawing/2014/main" id="{65CA0A94-2B00-458F-BE39-3BBCB232F536}"/>
            </a:ext>
          </a:extLst>
        </xdr:cNvPr>
        <xdr:cNvSpPr/>
      </xdr:nvSpPr>
      <xdr:spPr bwMode="auto">
        <a:xfrm>
          <a:off x="2771775" y="2625090"/>
          <a:ext cx="558165" cy="2305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2485</xdr:colOff>
      <xdr:row>18</xdr:row>
      <xdr:rowOff>8282</xdr:rowOff>
    </xdr:from>
    <xdr:to>
      <xdr:col>12</xdr:col>
      <xdr:colOff>585580</xdr:colOff>
      <xdr:row>34</xdr:row>
      <xdr:rowOff>8282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708085" y="2922932"/>
          <a:ext cx="1192695" cy="2590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To Find Final Rate</a:t>
          </a:r>
          <a:r>
            <a:rPr lang="en-US" sz="1100"/>
            <a:t>:</a:t>
          </a:r>
        </a:p>
        <a:p>
          <a:r>
            <a:rPr lang="en-US" sz="1100"/>
            <a:t>#1. Determine Risk Grade</a:t>
          </a:r>
        </a:p>
        <a:p>
          <a:r>
            <a:rPr lang="en-US" sz="1100"/>
            <a:t>#2. Determine Lower of Risk or Credit Score.</a:t>
          </a:r>
        </a:p>
        <a:p>
          <a:r>
            <a:rPr lang="en-US" sz="1100"/>
            <a:t>#3.  Find correct</a:t>
          </a:r>
          <a:r>
            <a:rPr lang="en-US" sz="1100" baseline="0"/>
            <a:t> rate group.</a:t>
          </a:r>
        </a:p>
        <a:p>
          <a:r>
            <a:rPr lang="en-US" sz="1100" baseline="0"/>
            <a:t>#4.  Locate rate based on amount &amp; term.</a:t>
          </a:r>
        </a:p>
        <a:p>
          <a:endParaRPr lang="en-US" sz="1100" baseline="0"/>
        </a:p>
        <a:p>
          <a:r>
            <a:rPr lang="en-US" sz="1100" baseline="0"/>
            <a:t>For loan requests above $50,000 &amp;/or 84 months contact CLO or Underwriting.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272143</xdr:colOff>
      <xdr:row>15</xdr:row>
      <xdr:rowOff>81642</xdr:rowOff>
    </xdr:from>
    <xdr:ext cx="3438526" cy="1176084"/>
    <xdr:pic>
      <xdr:nvPicPr>
        <xdr:cNvPr id="3" name="Picture 2">
          <a:extLst>
            <a:ext uri="{FF2B5EF4-FFF2-40B4-BE49-F238E27FC236}">
              <a16:creationId xmlns:a16="http://schemas.microsoft.com/office/drawing/2014/main" id="{FFE33A59-5ABA-48A8-AF9F-99C65276E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4714" y="2830285"/>
          <a:ext cx="3438526" cy="1176084"/>
        </a:xfrm>
        <a:prstGeom prst="rect">
          <a:avLst/>
        </a:prstGeom>
        <a:ln w="190500" cap="sq">
          <a:solidFill>
            <a:srgbClr val="C8C6BD"/>
          </a:solidFill>
          <a:prstDash val="solid"/>
          <a:miter lim="800000"/>
        </a:ln>
        <a:effectLst>
          <a:outerShdw blurRad="254000" algn="bl" rotWithShape="0">
            <a:srgbClr val="000000">
              <a:alpha val="43000"/>
            </a:srgbClr>
          </a:outerShdw>
        </a:effectLst>
        <a:scene3d>
          <a:camera prst="perspectiveFront" fov="5400000"/>
          <a:lightRig rig="threePt" dir="t">
            <a:rot lat="0" lon="0" rev="21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oneCellAnchor>
  <xdr:twoCellAnchor>
    <xdr:from>
      <xdr:col>19</xdr:col>
      <xdr:colOff>0</xdr:colOff>
      <xdr:row>17</xdr:row>
      <xdr:rowOff>0</xdr:rowOff>
    </xdr:from>
    <xdr:to>
      <xdr:col>23</xdr:col>
      <xdr:colOff>332015</xdr:colOff>
      <xdr:row>19</xdr:row>
      <xdr:rowOff>133351</xdr:rowOff>
    </xdr:to>
    <xdr:sp macro="[0]!RectangleRoundedCorners52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0C488B-F171-4141-8D10-E58140CDC26B}"/>
            </a:ext>
          </a:extLst>
        </xdr:cNvPr>
        <xdr:cNvSpPr/>
      </xdr:nvSpPr>
      <xdr:spPr>
        <a:xfrm>
          <a:off x="10844893" y="3156857"/>
          <a:ext cx="2781301" cy="514351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Return to Wizard!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438150</xdr:colOff>
      <xdr:row>11</xdr:row>
      <xdr:rowOff>314325</xdr:rowOff>
    </xdr:from>
    <xdr:ext cx="3438526" cy="1176084"/>
    <xdr:pic>
      <xdr:nvPicPr>
        <xdr:cNvPr id="3" name="Picture 2">
          <a:extLst>
            <a:ext uri="{FF2B5EF4-FFF2-40B4-BE49-F238E27FC236}">
              <a16:creationId xmlns:a16="http://schemas.microsoft.com/office/drawing/2014/main" id="{A695B8AA-FF0D-4DDF-B5DC-CC65216DF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10850" y="2876550"/>
          <a:ext cx="3438526" cy="1176084"/>
        </a:xfrm>
        <a:prstGeom prst="rect">
          <a:avLst/>
        </a:prstGeom>
        <a:ln w="190500" cap="sq">
          <a:solidFill>
            <a:srgbClr val="C8C6BD"/>
          </a:solidFill>
          <a:prstDash val="solid"/>
          <a:miter lim="800000"/>
        </a:ln>
        <a:effectLst>
          <a:outerShdw blurRad="254000" algn="bl" rotWithShape="0">
            <a:srgbClr val="000000">
              <a:alpha val="43000"/>
            </a:srgbClr>
          </a:outerShdw>
        </a:effectLst>
        <a:scene3d>
          <a:camera prst="perspectiveFront" fov="5400000"/>
          <a:lightRig rig="threePt" dir="t">
            <a:rot lat="0" lon="0" rev="21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oneCellAnchor>
  <xdr:twoCellAnchor>
    <xdr:from>
      <xdr:col>12</xdr:col>
      <xdr:colOff>161925</xdr:colOff>
      <xdr:row>13</xdr:row>
      <xdr:rowOff>142875</xdr:rowOff>
    </xdr:from>
    <xdr:to>
      <xdr:col>16</xdr:col>
      <xdr:colOff>504826</xdr:colOff>
      <xdr:row>16</xdr:row>
      <xdr:rowOff>114301</xdr:rowOff>
    </xdr:to>
    <xdr:sp macro="[0]!RectangleRoundedCorners52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B10708C-596C-44C6-9DB9-F564475EA27B}"/>
            </a:ext>
          </a:extLst>
        </xdr:cNvPr>
        <xdr:cNvSpPr/>
      </xdr:nvSpPr>
      <xdr:spPr>
        <a:xfrm>
          <a:off x="10944225" y="3190875"/>
          <a:ext cx="2781301" cy="514351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Return to Wizard!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2</xdr:row>
      <xdr:rowOff>38100</xdr:rowOff>
    </xdr:from>
    <xdr:to>
      <xdr:col>12</xdr:col>
      <xdr:colOff>66675</xdr:colOff>
      <xdr:row>32</xdr:row>
      <xdr:rowOff>685800</xdr:rowOff>
    </xdr:to>
    <xdr:pic>
      <xdr:nvPicPr>
        <xdr:cNvPr id="8193" name="Picture 1">
          <a:extLst>
            <a:ext uri="{FF2B5EF4-FFF2-40B4-BE49-F238E27FC236}">
              <a16:creationId xmlns:a16="http://schemas.microsoft.com/office/drawing/2014/main" id="{00000000-0008-0000-0700-0000012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392" t="19739" r="21786" b="4198"/>
        <a:stretch>
          <a:fillRect/>
        </a:stretch>
      </xdr:blipFill>
      <xdr:spPr bwMode="auto">
        <a:xfrm>
          <a:off x="247650" y="571500"/>
          <a:ext cx="7048500" cy="550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247650</xdr:colOff>
      <xdr:row>6</xdr:row>
      <xdr:rowOff>190500</xdr:rowOff>
    </xdr:from>
    <xdr:ext cx="3438526" cy="1176084"/>
    <xdr:pic>
      <xdr:nvPicPr>
        <xdr:cNvPr id="3" name="Picture 2">
          <a:extLst>
            <a:ext uri="{FF2B5EF4-FFF2-40B4-BE49-F238E27FC236}">
              <a16:creationId xmlns:a16="http://schemas.microsoft.com/office/drawing/2014/main" id="{95770751-BF26-4503-A71E-714D08902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3600" y="2314575"/>
          <a:ext cx="3438526" cy="1176084"/>
        </a:xfrm>
        <a:prstGeom prst="rect">
          <a:avLst/>
        </a:prstGeom>
        <a:ln w="190500" cap="sq">
          <a:solidFill>
            <a:srgbClr val="C8C6BD"/>
          </a:solidFill>
          <a:prstDash val="solid"/>
          <a:miter lim="800000"/>
        </a:ln>
        <a:effectLst>
          <a:outerShdw blurRad="254000" algn="bl" rotWithShape="0">
            <a:srgbClr val="000000">
              <a:alpha val="43000"/>
            </a:srgbClr>
          </a:outerShdw>
        </a:effectLst>
        <a:scene3d>
          <a:camera prst="perspectiveFront" fov="5400000"/>
          <a:lightRig rig="threePt" dir="t">
            <a:rot lat="0" lon="0" rev="21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oneCellAnchor>
  <xdr:twoCellAnchor>
    <xdr:from>
      <xdr:col>11</xdr:col>
      <xdr:colOff>581025</xdr:colOff>
      <xdr:row>7</xdr:row>
      <xdr:rowOff>0</xdr:rowOff>
    </xdr:from>
    <xdr:to>
      <xdr:col>16</xdr:col>
      <xdr:colOff>314326</xdr:colOff>
      <xdr:row>8</xdr:row>
      <xdr:rowOff>28576</xdr:rowOff>
    </xdr:to>
    <xdr:sp macro="[0]!RectangleRoundedCorners52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7681EF4-5E19-4FAB-B25B-C2FF5E4C50C1}"/>
            </a:ext>
          </a:extLst>
        </xdr:cNvPr>
        <xdr:cNvSpPr/>
      </xdr:nvSpPr>
      <xdr:spPr>
        <a:xfrm>
          <a:off x="10086975" y="2609850"/>
          <a:ext cx="2781301" cy="514351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Return to Wizard!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257175</xdr:colOff>
      <xdr:row>12</xdr:row>
      <xdr:rowOff>38100</xdr:rowOff>
    </xdr:from>
    <xdr:ext cx="3438526" cy="1176084"/>
    <xdr:pic>
      <xdr:nvPicPr>
        <xdr:cNvPr id="3" name="Picture 2">
          <a:extLst>
            <a:ext uri="{FF2B5EF4-FFF2-40B4-BE49-F238E27FC236}">
              <a16:creationId xmlns:a16="http://schemas.microsoft.com/office/drawing/2014/main" id="{F8B032A5-BA42-4B91-B0DF-96C3E44EEA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7525" y="1981200"/>
          <a:ext cx="3438526" cy="1176084"/>
        </a:xfrm>
        <a:prstGeom prst="rect">
          <a:avLst/>
        </a:prstGeom>
        <a:ln w="190500" cap="sq">
          <a:solidFill>
            <a:srgbClr val="C8C6BD"/>
          </a:solidFill>
          <a:prstDash val="solid"/>
          <a:miter lim="800000"/>
        </a:ln>
        <a:effectLst>
          <a:outerShdw blurRad="254000" algn="bl" rotWithShape="0">
            <a:srgbClr val="000000">
              <a:alpha val="43000"/>
            </a:srgbClr>
          </a:outerShdw>
        </a:effectLst>
        <a:scene3d>
          <a:camera prst="perspectiveFront" fov="5400000"/>
          <a:lightRig rig="threePt" dir="t">
            <a:rot lat="0" lon="0" rev="21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oneCellAnchor>
  <xdr:twoCellAnchor>
    <xdr:from>
      <xdr:col>10</xdr:col>
      <xdr:colOff>0</xdr:colOff>
      <xdr:row>14</xdr:row>
      <xdr:rowOff>0</xdr:rowOff>
    </xdr:from>
    <xdr:to>
      <xdr:col>14</xdr:col>
      <xdr:colOff>342901</xdr:colOff>
      <xdr:row>17</xdr:row>
      <xdr:rowOff>28576</xdr:rowOff>
    </xdr:to>
    <xdr:sp macro="[0]!RectangleRoundedCorners52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287838C-7B2C-419F-BF47-6BF0B2999DCE}"/>
            </a:ext>
          </a:extLst>
        </xdr:cNvPr>
        <xdr:cNvSpPr/>
      </xdr:nvSpPr>
      <xdr:spPr>
        <a:xfrm>
          <a:off x="7219950" y="2266950"/>
          <a:ext cx="2781301" cy="514351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Return to Wizard!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304800</xdr:colOff>
      <xdr:row>13</xdr:row>
      <xdr:rowOff>0</xdr:rowOff>
    </xdr:from>
    <xdr:ext cx="3438526" cy="1176084"/>
    <xdr:pic>
      <xdr:nvPicPr>
        <xdr:cNvPr id="3" name="Picture 2">
          <a:extLst>
            <a:ext uri="{FF2B5EF4-FFF2-40B4-BE49-F238E27FC236}">
              <a16:creationId xmlns:a16="http://schemas.microsoft.com/office/drawing/2014/main" id="{DA0BCF8F-05DA-4B99-9E72-4BB1FB731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20025" y="1857375"/>
          <a:ext cx="3438526" cy="1176084"/>
        </a:xfrm>
        <a:prstGeom prst="rect">
          <a:avLst/>
        </a:prstGeom>
        <a:ln w="190500" cap="sq">
          <a:solidFill>
            <a:srgbClr val="C8C6BD"/>
          </a:solidFill>
          <a:prstDash val="solid"/>
          <a:miter lim="800000"/>
        </a:ln>
        <a:effectLst>
          <a:outerShdw blurRad="254000" algn="bl" rotWithShape="0">
            <a:srgbClr val="000000">
              <a:alpha val="43000"/>
            </a:srgbClr>
          </a:outerShdw>
        </a:effectLst>
        <a:scene3d>
          <a:camera prst="perspectiveFront" fov="5400000"/>
          <a:lightRig rig="threePt" dir="t">
            <a:rot lat="0" lon="0" rev="21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oneCellAnchor>
  <xdr:twoCellAnchor>
    <xdr:from>
      <xdr:col>7</xdr:col>
      <xdr:colOff>0</xdr:colOff>
      <xdr:row>15</xdr:row>
      <xdr:rowOff>0</xdr:rowOff>
    </xdr:from>
    <xdr:to>
      <xdr:col>11</xdr:col>
      <xdr:colOff>342901</xdr:colOff>
      <xdr:row>18</xdr:row>
      <xdr:rowOff>85726</xdr:rowOff>
    </xdr:to>
    <xdr:sp macro="[0]!RectangleRoundedCorners52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F3BA728-1B37-4A43-8BCA-85C973CF3CB4}"/>
            </a:ext>
          </a:extLst>
        </xdr:cNvPr>
        <xdr:cNvSpPr/>
      </xdr:nvSpPr>
      <xdr:spPr>
        <a:xfrm>
          <a:off x="8124825" y="2143125"/>
          <a:ext cx="2781301" cy="514351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Return to Wizard!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257175</xdr:colOff>
      <xdr:row>11</xdr:row>
      <xdr:rowOff>28575</xdr:rowOff>
    </xdr:from>
    <xdr:ext cx="3438526" cy="1176084"/>
    <xdr:pic>
      <xdr:nvPicPr>
        <xdr:cNvPr id="3" name="Picture 2">
          <a:extLst>
            <a:ext uri="{FF2B5EF4-FFF2-40B4-BE49-F238E27FC236}">
              <a16:creationId xmlns:a16="http://schemas.microsoft.com/office/drawing/2014/main" id="{F25E89CD-F092-481D-84EF-56DCF2A85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3975" y="1809750"/>
          <a:ext cx="3438526" cy="1176084"/>
        </a:xfrm>
        <a:prstGeom prst="rect">
          <a:avLst/>
        </a:prstGeom>
        <a:ln w="190500" cap="sq">
          <a:solidFill>
            <a:srgbClr val="C8C6BD"/>
          </a:solidFill>
          <a:prstDash val="solid"/>
          <a:miter lim="800000"/>
        </a:ln>
        <a:effectLst>
          <a:outerShdw blurRad="254000" algn="bl" rotWithShape="0">
            <a:srgbClr val="000000">
              <a:alpha val="43000"/>
            </a:srgbClr>
          </a:outerShdw>
        </a:effectLst>
        <a:scene3d>
          <a:camera prst="perspectiveFront" fov="5400000"/>
          <a:lightRig rig="threePt" dir="t">
            <a:rot lat="0" lon="0" rev="21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oneCellAnchor>
  <xdr:twoCellAnchor>
    <xdr:from>
      <xdr:col>9</xdr:col>
      <xdr:colOff>0</xdr:colOff>
      <xdr:row>13</xdr:row>
      <xdr:rowOff>0</xdr:rowOff>
    </xdr:from>
    <xdr:to>
      <xdr:col>13</xdr:col>
      <xdr:colOff>342901</xdr:colOff>
      <xdr:row>16</xdr:row>
      <xdr:rowOff>28576</xdr:rowOff>
    </xdr:to>
    <xdr:sp macro="[0]!RectangleRoundedCorners52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AD28BF8-F1BB-4F75-B9AD-D2831847E003}"/>
            </a:ext>
          </a:extLst>
        </xdr:cNvPr>
        <xdr:cNvSpPr/>
      </xdr:nvSpPr>
      <xdr:spPr>
        <a:xfrm>
          <a:off x="5486400" y="2105025"/>
          <a:ext cx="2781301" cy="514351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>
                <a:noFill/>
              </a:ln>
              <a:solidFill>
                <a:schemeClr val="bg1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Return to Wizard!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gibson/Desktop/consumer%20new%20draf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 Checklist"/>
      <sheetName val="Consumer Closing Doc Request"/>
      <sheetName val="LOAN SUBMISSION"/>
      <sheetName val="Short Form"/>
      <sheetName val="Approval Limits "/>
      <sheetName val="Application Flow Chart"/>
      <sheetName val="Approval Limits R.E"/>
      <sheetName val=" Policy Exceptions"/>
      <sheetName val="Loan Terms"/>
      <sheetName val="Loan LTV Limits"/>
      <sheetName val="Loan Department Positions"/>
      <sheetName val="Data - do not ed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2">
          <cell r="A2">
            <v>47968</v>
          </cell>
          <cell r="B2" t="str">
            <v>1 - 3 m</v>
          </cell>
          <cell r="C2" t="str">
            <v>checking</v>
          </cell>
          <cell r="D2" t="str">
            <v>personal</v>
          </cell>
          <cell r="E2" t="str">
            <v>House</v>
          </cell>
          <cell r="G2" t="str">
            <v>weekly</v>
          </cell>
          <cell r="H2">
            <v>4.3330000000000002</v>
          </cell>
          <cell r="I2">
            <v>2.1669999999999998</v>
          </cell>
          <cell r="J2">
            <v>2</v>
          </cell>
          <cell r="K2">
            <v>1</v>
          </cell>
          <cell r="N2" t="str">
            <v>APPROVAL</v>
          </cell>
          <cell r="O2" t="str">
            <v>1 - New Ross</v>
          </cell>
          <cell r="P2" t="str">
            <v>1-Trey</v>
          </cell>
          <cell r="Q2" t="str">
            <v>Tammy</v>
          </cell>
          <cell r="U2" t="str">
            <v>yes</v>
          </cell>
          <cell r="V2" t="str">
            <v>kbb</v>
          </cell>
          <cell r="W2" t="str">
            <v>50 bill consolidation- personal</v>
          </cell>
          <cell r="X2" t="str">
            <v>yes - exception 8</v>
          </cell>
          <cell r="Y2" t="str">
            <v>yes - exception 2</v>
          </cell>
          <cell r="Z2" t="str">
            <v>6C=Automobile</v>
          </cell>
          <cell r="AA2" t="str">
            <v>100 Unsecured</v>
          </cell>
          <cell r="AB2" t="str">
            <v>Exception 7 - ltv</v>
          </cell>
          <cell r="AE2" t="str">
            <v>SSI</v>
          </cell>
          <cell r="AH2" t="str">
            <v>Rate(2) - L4</v>
          </cell>
          <cell r="AL2" t="str">
            <v>own</v>
          </cell>
          <cell r="AS2" t="str">
            <v>LOAN OFFICER</v>
          </cell>
        </row>
        <row r="3">
          <cell r="A3">
            <v>47954</v>
          </cell>
          <cell r="B3" t="str">
            <v>3 - 12 m</v>
          </cell>
          <cell r="C3" t="str">
            <v>savings</v>
          </cell>
          <cell r="D3" t="str">
            <v>business</v>
          </cell>
          <cell r="E3" t="str">
            <v>2mtg</v>
          </cell>
          <cell r="G3" t="str">
            <v>every oth wk</v>
          </cell>
          <cell r="N3" t="str">
            <v>DENIAL</v>
          </cell>
          <cell r="O3" t="str">
            <v>2 - Ladoga</v>
          </cell>
          <cell r="P3" t="str">
            <v>2-Brad</v>
          </cell>
          <cell r="Q3" t="str">
            <v>Carolyn</v>
          </cell>
          <cell r="U3" t="str">
            <v>no</v>
          </cell>
          <cell r="V3" t="str">
            <v>nada</v>
          </cell>
          <cell r="W3" t="str">
            <v>51 loan restructure - personal</v>
          </cell>
          <cell r="X3" t="str">
            <v>no</v>
          </cell>
          <cell r="Y3" t="str">
            <v>no</v>
          </cell>
          <cell r="Z3" t="str">
            <v>6D-Other consumer</v>
          </cell>
          <cell r="AA3" t="str">
            <v>550- New vehicle</v>
          </cell>
          <cell r="AB3" t="str">
            <v>no</v>
          </cell>
          <cell r="AE3" t="str">
            <v>OT</v>
          </cell>
          <cell r="AH3" t="str">
            <v>LOE/LOR(#) - L4</v>
          </cell>
          <cell r="AL3" t="str">
            <v>rent</v>
          </cell>
          <cell r="AS3" t="str">
            <v>93 NIKKI</v>
          </cell>
        </row>
        <row r="4">
          <cell r="A4">
            <v>46172</v>
          </cell>
          <cell r="B4" t="str">
            <v>13 - 24 m</v>
          </cell>
          <cell r="C4" t="str">
            <v>ckg &amp; sav</v>
          </cell>
          <cell r="D4" t="str">
            <v>mortgage</v>
          </cell>
          <cell r="E4" t="str">
            <v>auto</v>
          </cell>
          <cell r="G4" t="str">
            <v>twice mo</v>
          </cell>
          <cell r="N4" t="str">
            <v>APPROVED w/contingencies</v>
          </cell>
          <cell r="O4" t="str">
            <v>3 - Rdale</v>
          </cell>
          <cell r="P4" t="str">
            <v>7-Lisa G</v>
          </cell>
          <cell r="Q4" t="str">
            <v>Nikki</v>
          </cell>
          <cell r="U4" t="str">
            <v>n/a</v>
          </cell>
          <cell r="V4" t="str">
            <v>purch.price</v>
          </cell>
          <cell r="W4" t="str">
            <v>52 purchase vehicle</v>
          </cell>
          <cell r="X4" t="str">
            <v>See TERM tab for loan terms</v>
          </cell>
          <cell r="Y4" t="str">
            <v>See pricing tabs for rate exceptions</v>
          </cell>
          <cell r="Z4" t="str">
            <v>6A=Credit Cards</v>
          </cell>
          <cell r="AA4" t="str">
            <v>551 - Used vehicle (1-5 YRS OLD)</v>
          </cell>
          <cell r="AB4" t="str">
            <v>See LTV tab for LTV limits</v>
          </cell>
          <cell r="AE4" t="str">
            <v>Bonus</v>
          </cell>
          <cell r="AH4" t="str">
            <v>Waive Ins(4) - L(up to $10k) &gt;10k-U</v>
          </cell>
          <cell r="AL4" t="str">
            <v>w/parents</v>
          </cell>
          <cell r="AS4" t="str">
            <v>94 CAROLYN</v>
          </cell>
        </row>
        <row r="5">
          <cell r="A5">
            <v>47933</v>
          </cell>
          <cell r="B5" t="str">
            <v>2.1 to 5 yrs</v>
          </cell>
          <cell r="C5" t="str">
            <v>mutiple</v>
          </cell>
          <cell r="D5" t="str">
            <v>multiple</v>
          </cell>
          <cell r="E5" t="str">
            <v>pers</v>
          </cell>
          <cell r="G5" t="str">
            <v>monthly</v>
          </cell>
          <cell r="N5" t="str">
            <v>SEE OFFICER COMMENTS BELOW</v>
          </cell>
          <cell r="O5" t="str">
            <v>4 - CvilleS</v>
          </cell>
          <cell r="P5" t="str">
            <v>14-Trent</v>
          </cell>
          <cell r="V5" t="str">
            <v>appraisal</v>
          </cell>
          <cell r="W5" t="str">
            <v>53 refi vehicle</v>
          </cell>
          <cell r="AA5" t="str">
            <v>555 - Used vehicle (&gt; 5 YRS OLD)</v>
          </cell>
          <cell r="AE5" t="str">
            <v>Comm.</v>
          </cell>
          <cell r="AH5" t="str">
            <v>Beacon(5) - U</v>
          </cell>
          <cell r="AL5" t="str">
            <v>other - explain</v>
          </cell>
          <cell r="AS5" t="str">
            <v>96 TAMMY</v>
          </cell>
        </row>
        <row r="6">
          <cell r="A6">
            <v>47955</v>
          </cell>
          <cell r="B6" t="str">
            <v>5.1 to 10 yrs</v>
          </cell>
          <cell r="C6" t="str">
            <v>no deposits</v>
          </cell>
          <cell r="D6" t="str">
            <v>no loans</v>
          </cell>
          <cell r="E6" t="str">
            <v>cc</v>
          </cell>
          <cell r="O6" t="str">
            <v>5 - Linden</v>
          </cell>
          <cell r="P6" t="str">
            <v>16-Sandy</v>
          </cell>
          <cell r="V6" t="str">
            <v>BPO/Evaluation</v>
          </cell>
          <cell r="W6" t="str">
            <v>55 recreational vehicle</v>
          </cell>
          <cell r="Z6" t="str">
            <v xml:space="preserve">1A1=RE-Construction and Land Develop </v>
          </cell>
          <cell r="AA6" t="str">
            <v>600 lawn mower</v>
          </cell>
          <cell r="AE6" t="str">
            <v>2nd job</v>
          </cell>
          <cell r="AH6" t="str">
            <v>Off Limits (6) - none</v>
          </cell>
          <cell r="AS6" t="str">
            <v>Loan Officer Comm</v>
          </cell>
        </row>
        <row r="7">
          <cell r="A7">
            <v>47981</v>
          </cell>
          <cell r="B7" t="str">
            <v>10.1 to 20 yrs</v>
          </cell>
          <cell r="E7" t="str">
            <v>child supp</v>
          </cell>
          <cell r="O7" t="str">
            <v>6 - CvilleE</v>
          </cell>
          <cell r="P7" t="str">
            <v>25-Zach</v>
          </cell>
          <cell r="V7" t="str">
            <v>other</v>
          </cell>
          <cell r="W7" t="str">
            <v>56 vacation/christmas loan</v>
          </cell>
          <cell r="Z7" t="str">
            <v xml:space="preserve">1B=RE-Farmland (Including Farm Resid, Other Impvmts) </v>
          </cell>
          <cell r="AA7" t="str">
            <v>610 - Recreational Merchandise</v>
          </cell>
          <cell r="AE7" t="str">
            <v>Retire</v>
          </cell>
          <cell r="AH7" t="str">
            <v>LTV(7) - L3</v>
          </cell>
          <cell r="AS7" t="str">
            <v>Executive Comm</v>
          </cell>
        </row>
        <row r="8">
          <cell r="B8" t="str">
            <v>over 20 yrs</v>
          </cell>
          <cell r="E8" t="str">
            <v>stud ln</v>
          </cell>
          <cell r="P8" t="str">
            <v>28-Bill</v>
          </cell>
          <cell r="W8" t="str">
            <v>57 tax refund</v>
          </cell>
          <cell r="Z8" t="str">
            <v>1C1=RE-Revolving 1to4 Family Residential Propty</v>
          </cell>
          <cell r="AA8" t="str">
            <v>650 airplane or other aerial collateral</v>
          </cell>
          <cell r="AH8" t="str">
            <v>Term(8) - L4,U2</v>
          </cell>
          <cell r="AS8" t="str">
            <v>Loan Committee</v>
          </cell>
        </row>
        <row r="9">
          <cell r="E9" t="str">
            <v>other</v>
          </cell>
          <cell r="P9" t="str">
            <v>29-John</v>
          </cell>
          <cell r="W9" t="str">
            <v>58 loan to pay taxes</v>
          </cell>
          <cell r="Z9" t="str">
            <v>1C2A=1ST lien 1 to 4 Family Residential Propty</v>
          </cell>
          <cell r="AA9" t="str">
            <v>699 other personal collateral</v>
          </cell>
          <cell r="AH9" t="str">
            <v>Out of Area(9) - LOC</v>
          </cell>
          <cell r="AS9" t="str">
            <v>Board</v>
          </cell>
        </row>
        <row r="10">
          <cell r="P10" t="str">
            <v>30-Kathryn</v>
          </cell>
          <cell r="W10" t="str">
            <v>59 - other personal purpose</v>
          </cell>
          <cell r="Z10" t="str">
            <v>1C2B=JR. lien 1 to 4 Family Residential Propty</v>
          </cell>
          <cell r="AA10" t="str">
            <v>203 farm machinery/equipment</v>
          </cell>
          <cell r="AH10" t="str">
            <v>BK/JDGT &lt;661661(11) -  BKw/in 5 yrs-U w/J/F/R/CO 2yrs - LC</v>
          </cell>
        </row>
        <row r="11">
          <cell r="P11" t="str">
            <v>32-Adam</v>
          </cell>
          <cell r="W11" t="str">
            <v>60 purchase lawn mower</v>
          </cell>
          <cell r="Z11" t="str">
            <v xml:space="preserve">1E=RE-NonFarm, NonResidential Propty </v>
          </cell>
          <cell r="AA11" t="str">
            <v>204 - horse trailer</v>
          </cell>
          <cell r="AH11" t="str">
            <v>BK/JDGT &gt;661(12) - Ifw/in 2yrs - LC otherwise - U</v>
          </cell>
        </row>
        <row r="12">
          <cell r="P12" t="str">
            <v>33-Lisa E</v>
          </cell>
          <cell r="W12" t="str">
            <v>62 boat/trailer</v>
          </cell>
          <cell r="Z12" t="str">
            <v xml:space="preserve">2=Loans to Depository Institutions </v>
          </cell>
          <cell r="AA12" t="str">
            <v>222 Farm mixed collateral</v>
          </cell>
          <cell r="AH12" t="str">
            <v>Int Cap(13) - Board</v>
          </cell>
        </row>
        <row r="13">
          <cell r="P13" t="str">
            <v>34-Jennifer</v>
          </cell>
          <cell r="W13" t="str">
            <v xml:space="preserve">63 pur/refi motorcycle </v>
          </cell>
          <cell r="Z13" t="str">
            <v xml:space="preserve">3=Ag Loans </v>
          </cell>
          <cell r="AA13" t="str">
            <v>299 farm other collateral</v>
          </cell>
          <cell r="AH13" t="str">
            <v>Conflict of Int(14) - Board</v>
          </cell>
        </row>
        <row r="14">
          <cell r="P14" t="str">
            <v>35-Caryn</v>
          </cell>
          <cell r="W14" t="str">
            <v xml:space="preserve">20 ag carryover     </v>
          </cell>
          <cell r="Z14" t="str">
            <v xml:space="preserve">4=Commercial and Industrial Loans </v>
          </cell>
          <cell r="AA14" t="str">
            <v>301 cd assignment</v>
          </cell>
          <cell r="AH14" t="str">
            <v>Delinq re-write(15) - LOC</v>
          </cell>
        </row>
        <row r="15">
          <cell r="P15" t="str">
            <v>36-Della</v>
          </cell>
          <cell r="W15" t="str">
            <v>21 crop inputs</v>
          </cell>
          <cell r="AA15" t="str">
            <v>302 commercial inventory</v>
          </cell>
          <cell r="AH15" t="str">
            <v>Waive fees (20)-L2</v>
          </cell>
        </row>
        <row r="16">
          <cell r="W16" t="str">
            <v>22 livestock</v>
          </cell>
          <cell r="AA16" t="str">
            <v>303 commercial vehicle</v>
          </cell>
          <cell r="AH16" t="str">
            <v>Low Doc - L2</v>
          </cell>
        </row>
        <row r="17">
          <cell r="W17" t="str">
            <v xml:space="preserve">23 pur/refi farm equipment </v>
          </cell>
          <cell r="AA17" t="str">
            <v>304 comerical equipment</v>
          </cell>
          <cell r="AH17" t="str">
            <v>Stated Income &gt;700 - L2</v>
          </cell>
        </row>
        <row r="18">
          <cell r="W18" t="str">
            <v xml:space="preserve">24 pur/refi farm vehicle </v>
          </cell>
          <cell r="AA18" t="str">
            <v>305 commercial mixed collateral</v>
          </cell>
          <cell r="AH18" t="str">
            <v>Stated Income &gt;700 - Board</v>
          </cell>
        </row>
        <row r="19">
          <cell r="W19" t="str">
            <v xml:space="preserve">25 cash rent </v>
          </cell>
          <cell r="AA19" t="str">
            <v>310 accts receivable</v>
          </cell>
          <cell r="AH19" t="str">
            <v>Co-signed - L2</v>
          </cell>
        </row>
        <row r="20">
          <cell r="W20" t="str">
            <v>29 mixed farm purpose</v>
          </cell>
          <cell r="AA20" t="str">
            <v>399 comm other collateral</v>
          </cell>
          <cell r="AH20" t="str">
            <v>Loan for benefit of non-borrower - L2</v>
          </cell>
        </row>
        <row r="21">
          <cell r="W21" t="str">
            <v xml:space="preserve">30 comm operating </v>
          </cell>
          <cell r="AA21" t="str">
            <v>400- mobile/manufactured home</v>
          </cell>
        </row>
        <row r="22">
          <cell r="W22" t="str">
            <v xml:space="preserve">32 purchase comm inventory </v>
          </cell>
          <cell r="AA22" t="str">
            <v>401 1-4 family residential</v>
          </cell>
        </row>
        <row r="23">
          <cell r="W23" t="str">
            <v xml:space="preserve">33 pur/refi comm vehicle </v>
          </cell>
          <cell r="AA23" t="str">
            <v>402 multi-family residential</v>
          </cell>
        </row>
        <row r="24">
          <cell r="W24" t="str">
            <v>34 pur/refi comm equipment</v>
          </cell>
          <cell r="AA24" t="str">
            <v>403 farm r/e</v>
          </cell>
        </row>
        <row r="25">
          <cell r="W25" t="str">
            <v>36 pur/refi residential rental (non-owner occ)</v>
          </cell>
          <cell r="AA25" t="str">
            <v>404 business real estate</v>
          </cell>
        </row>
        <row r="26">
          <cell r="W26" t="str">
            <v xml:space="preserve">39 other comm purpose </v>
          </cell>
          <cell r="AA26" t="str">
            <v>405 bareground</v>
          </cell>
        </row>
        <row r="27">
          <cell r="W27" t="str">
            <v>40 purchase bareground for development</v>
          </cell>
          <cell r="AA27" t="str">
            <v>406 mobile home</v>
          </cell>
        </row>
        <row r="28">
          <cell r="W28" t="str">
            <v>41 purchase 1-4 family residential</v>
          </cell>
          <cell r="AA28" t="str">
            <v>408 rental - residential</v>
          </cell>
        </row>
        <row r="29">
          <cell r="W29" t="str">
            <v>43 purchase farm real estate</v>
          </cell>
          <cell r="AA29" t="str">
            <v>499 real estate other</v>
          </cell>
        </row>
        <row r="30">
          <cell r="W30" t="str">
            <v xml:space="preserve">44 purchase comm real estate </v>
          </cell>
        </row>
        <row r="31">
          <cell r="W31" t="str">
            <v>45 rate/term refi 1-4 family</v>
          </cell>
        </row>
        <row r="32">
          <cell r="W32" t="str">
            <v>46 2nd mtg/ closed end</v>
          </cell>
        </row>
        <row r="33">
          <cell r="W33" t="str">
            <v>47 refi farm real estate</v>
          </cell>
        </row>
        <row r="34">
          <cell r="W34" t="str">
            <v>48 refi commercial real estate</v>
          </cell>
        </row>
        <row r="35">
          <cell r="W35" t="str">
            <v>49 other real estate purpose</v>
          </cell>
        </row>
        <row r="36">
          <cell r="W36" t="str">
            <v>70 construction residence</v>
          </cell>
        </row>
        <row r="37">
          <cell r="W37" t="str">
            <v>71 construction final residence</v>
          </cell>
        </row>
        <row r="38">
          <cell r="W38" t="str">
            <v>72 - heloc</v>
          </cell>
        </row>
        <row r="39">
          <cell r="W39" t="str">
            <v xml:space="preserve">73 - cash out refiI 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lsbsrv\HHSB%20DOCS\Bank%20Forms\Mitigating%20Factors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84274-988E-4E55-87FA-DD8F79ACBA44}">
  <sheetPr codeName="Sheet4">
    <tabColor theme="7" tint="0.39997558519241921"/>
  </sheetPr>
  <dimension ref="E1:N14"/>
  <sheetViews>
    <sheetView showGridLines="0" tabSelected="1" workbookViewId="0">
      <selection activeCell="M9" sqref="M9"/>
    </sheetView>
  </sheetViews>
  <sheetFormatPr defaultColWidth="9.140625" defaultRowHeight="15" x14ac:dyDescent="0.25"/>
  <cols>
    <col min="1" max="3" width="9.140625" style="255"/>
    <col min="4" max="4" width="8" style="255" customWidth="1"/>
    <col min="5" max="9" width="9.140625" style="255" hidden="1" customWidth="1"/>
    <col min="10" max="10" width="5.85546875" style="255" customWidth="1"/>
    <col min="11" max="11" width="9" style="255" customWidth="1"/>
    <col min="12" max="12" width="9.140625" style="255" hidden="1" customWidth="1"/>
    <col min="13" max="13" width="38.140625" style="255" customWidth="1"/>
    <col min="14" max="14" width="94.28515625" style="255" customWidth="1"/>
    <col min="15" max="16384" width="9.140625" style="255"/>
  </cols>
  <sheetData>
    <row r="1" spans="10:14" x14ac:dyDescent="0.25">
      <c r="J1" s="286"/>
      <c r="K1" s="287"/>
      <c r="L1" s="287"/>
      <c r="M1" s="287"/>
      <c r="N1" s="287"/>
    </row>
    <row r="2" spans="10:14" x14ac:dyDescent="0.25">
      <c r="J2" s="287"/>
      <c r="K2" s="287"/>
      <c r="L2" s="287"/>
      <c r="M2" s="287"/>
      <c r="N2" s="287"/>
    </row>
    <row r="3" spans="10:14" x14ac:dyDescent="0.25">
      <c r="J3" s="287"/>
      <c r="K3" s="287"/>
      <c r="L3" s="287"/>
      <c r="M3" s="287"/>
      <c r="N3" s="287"/>
    </row>
    <row r="4" spans="10:14" x14ac:dyDescent="0.25">
      <c r="J4" s="287"/>
      <c r="K4" s="287"/>
      <c r="L4" s="287"/>
      <c r="M4" s="287"/>
      <c r="N4" s="287"/>
    </row>
    <row r="5" spans="10:14" x14ac:dyDescent="0.25">
      <c r="J5" s="287"/>
      <c r="K5" s="287"/>
      <c r="L5" s="287"/>
      <c r="M5" s="287"/>
      <c r="N5" s="287"/>
    </row>
    <row r="9" spans="10:14" ht="39.75" customHeight="1" x14ac:dyDescent="0.25">
      <c r="M9" s="255">
        <v>0</v>
      </c>
    </row>
    <row r="10" spans="10:14" ht="39.75" customHeight="1" x14ac:dyDescent="0.25"/>
    <row r="11" spans="10:14" ht="39.75" customHeight="1" x14ac:dyDescent="0.25"/>
    <row r="12" spans="10:14" ht="21" customHeight="1" x14ac:dyDescent="0.25"/>
    <row r="13" spans="10:14" ht="21" customHeight="1" x14ac:dyDescent="0.25"/>
    <row r="14" spans="10:14" ht="21" customHeight="1" x14ac:dyDescent="0.25"/>
  </sheetData>
  <mergeCells count="1">
    <mergeCell ref="J1:N5"/>
  </mergeCells>
  <conditionalFormatting sqref="K9:K14">
    <cfRule type="iconSet" priority="1">
      <iconSet iconSet="3Symbols">
        <cfvo type="percent" val="0"/>
        <cfvo type="percent" val="33"/>
        <cfvo type="percent" val="67"/>
      </iconSet>
    </cfRule>
    <cfRule type="iconSet" priority="2">
      <iconSet iconSet="3Symbols">
        <cfvo type="percent" val="0"/>
        <cfvo type="percent" val="33"/>
        <cfvo type="percent" val="67"/>
      </iconSet>
    </cfRule>
  </conditionalFormatting>
  <pageMargins left="0.33" right="0.7" top="0.75" bottom="0.99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0.39997558519241921"/>
    <pageSetUpPr fitToPage="1"/>
  </sheetPr>
  <dimension ref="A1:BA266"/>
  <sheetViews>
    <sheetView zoomScale="98" zoomScaleNormal="98" workbookViewId="0">
      <selection activeCell="F20" sqref="F20:G20"/>
    </sheetView>
  </sheetViews>
  <sheetFormatPr defaultRowHeight="12.75" x14ac:dyDescent="0.2"/>
  <cols>
    <col min="1" max="1" width="6.5703125" customWidth="1"/>
    <col min="2" max="3" width="3.7109375" customWidth="1"/>
    <col min="4" max="4" width="9.5703125" customWidth="1"/>
    <col min="5" max="6" width="4.5703125" customWidth="1"/>
    <col min="7" max="7" width="7.140625" customWidth="1"/>
    <col min="8" max="8" width="9.28515625" customWidth="1"/>
    <col min="9" max="9" width="4.5703125" customWidth="1"/>
    <col min="10" max="10" width="6" customWidth="1"/>
    <col min="11" max="11" width="8.85546875" customWidth="1"/>
    <col min="12" max="13" width="4.5703125" customWidth="1"/>
    <col min="14" max="14" width="10.28515625" customWidth="1"/>
    <col min="15" max="16" width="4.5703125" customWidth="1"/>
    <col min="17" max="17" width="8.42578125" customWidth="1"/>
    <col min="18" max="18" width="10.42578125" customWidth="1"/>
    <col min="19" max="20" width="4.5703125" customWidth="1"/>
    <col min="21" max="21" width="8.7109375" customWidth="1"/>
    <col min="22" max="22" width="4.28515625" customWidth="1"/>
    <col min="23" max="23" width="9.7109375" customWidth="1"/>
    <col min="24" max="24" width="4" customWidth="1"/>
    <col min="25" max="25" width="43" style="206" bestFit="1" customWidth="1"/>
    <col min="26" max="26" width="22.5703125" customWidth="1"/>
    <col min="27" max="27" width="29.42578125" customWidth="1"/>
    <col min="28" max="28" width="24" customWidth="1"/>
    <col min="29" max="29" width="28.7109375" customWidth="1"/>
    <col min="30" max="31" width="19.7109375" customWidth="1"/>
    <col min="32" max="32" width="28.140625" customWidth="1"/>
    <col min="33" max="33" width="28.7109375" customWidth="1"/>
    <col min="34" max="34" width="17.28515625" customWidth="1"/>
    <col min="35" max="35" width="16.7109375" customWidth="1"/>
    <col min="36" max="36" width="17" customWidth="1"/>
    <col min="37" max="37" width="28.28515625" customWidth="1"/>
    <col min="38" max="38" width="16.28515625" customWidth="1"/>
    <col min="39" max="39" width="15.85546875" customWidth="1"/>
    <col min="40" max="40" width="21.42578125" customWidth="1"/>
    <col min="43" max="43" width="20.7109375" customWidth="1"/>
    <col min="44" max="44" width="11" customWidth="1"/>
    <col min="45" max="45" width="11.5703125" customWidth="1"/>
    <col min="46" max="46" width="13.140625" customWidth="1"/>
    <col min="47" max="47" width="16.28515625" customWidth="1"/>
    <col min="48" max="48" width="14.85546875" customWidth="1"/>
    <col min="49" max="49" width="13.140625" customWidth="1"/>
    <col min="50" max="50" width="15.42578125" customWidth="1"/>
  </cols>
  <sheetData>
    <row r="1" spans="1:25" x14ac:dyDescent="0.2">
      <c r="A1" s="336" t="s">
        <v>0</v>
      </c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6"/>
      <c r="P1" s="336"/>
      <c r="Q1" s="336"/>
      <c r="R1" s="336"/>
      <c r="S1" s="336"/>
      <c r="T1" s="336"/>
      <c r="U1" s="336"/>
      <c r="Y1"/>
    </row>
    <row r="2" spans="1:25" x14ac:dyDescent="0.2">
      <c r="A2" s="384" t="s">
        <v>1</v>
      </c>
      <c r="B2" s="384"/>
      <c r="C2" s="384"/>
      <c r="D2" s="368" t="s">
        <v>2</v>
      </c>
      <c r="E2" s="368"/>
      <c r="F2" s="368"/>
      <c r="G2" s="368"/>
      <c r="H2" s="368" t="s">
        <v>3</v>
      </c>
      <c r="I2" s="368"/>
      <c r="J2" s="368"/>
      <c r="K2" s="368"/>
      <c r="L2" s="219"/>
      <c r="M2" s="219"/>
      <c r="N2" s="368" t="s">
        <v>4</v>
      </c>
      <c r="O2" s="368"/>
      <c r="P2" s="368"/>
      <c r="Q2" s="368"/>
      <c r="R2" s="368" t="s">
        <v>5</v>
      </c>
      <c r="S2" s="368"/>
      <c r="T2" s="368"/>
      <c r="U2" s="368"/>
      <c r="Y2"/>
    </row>
    <row r="3" spans="1:25" ht="25.5" customHeight="1" x14ac:dyDescent="0.2">
      <c r="A3" s="368" t="s">
        <v>6</v>
      </c>
      <c r="B3" s="368"/>
      <c r="C3" s="368"/>
      <c r="D3" s="379" t="s">
        <v>924</v>
      </c>
      <c r="E3" s="379"/>
      <c r="F3" s="379"/>
      <c r="G3" s="379"/>
      <c r="H3" s="379" t="s">
        <v>924</v>
      </c>
      <c r="I3" s="379"/>
      <c r="J3" s="379"/>
      <c r="K3" s="379"/>
      <c r="L3" s="220"/>
      <c r="M3" s="220"/>
      <c r="N3" s="379" t="s">
        <v>924</v>
      </c>
      <c r="O3" s="379"/>
      <c r="P3" s="379"/>
      <c r="Q3" s="379"/>
      <c r="R3" s="379" t="s">
        <v>924</v>
      </c>
      <c r="S3" s="379"/>
      <c r="T3" s="379"/>
      <c r="U3" s="379"/>
      <c r="Y3"/>
    </row>
    <row r="4" spans="1:25" ht="25.5" customHeight="1" x14ac:dyDescent="0.2">
      <c r="A4" s="380" t="s">
        <v>7</v>
      </c>
      <c r="B4" s="380"/>
      <c r="C4" s="380"/>
      <c r="D4" s="379"/>
      <c r="E4" s="379"/>
      <c r="F4" s="379"/>
      <c r="G4" s="379"/>
      <c r="H4" s="379"/>
      <c r="I4" s="379"/>
      <c r="J4" s="379"/>
      <c r="K4" s="379"/>
      <c r="L4" s="220"/>
      <c r="M4" s="220"/>
      <c r="N4" s="379"/>
      <c r="O4" s="379"/>
      <c r="P4" s="379"/>
      <c r="Q4" s="379"/>
      <c r="R4" s="379"/>
      <c r="S4" s="379"/>
      <c r="T4" s="379"/>
      <c r="U4" s="379"/>
      <c r="Y4"/>
    </row>
    <row r="5" spans="1:25" x14ac:dyDescent="0.2">
      <c r="A5" s="368" t="s">
        <v>8</v>
      </c>
      <c r="B5" s="368"/>
      <c r="C5" s="368"/>
      <c r="D5" s="306"/>
      <c r="E5" s="306"/>
      <c r="F5" s="306"/>
      <c r="G5" s="306"/>
      <c r="H5" s="306"/>
      <c r="I5" s="306"/>
      <c r="J5" s="306"/>
      <c r="K5" s="306"/>
      <c r="L5" s="221"/>
      <c r="M5" s="221"/>
      <c r="N5" s="306"/>
      <c r="O5" s="306"/>
      <c r="P5" s="306"/>
      <c r="Q5" s="306"/>
      <c r="R5" s="306"/>
      <c r="S5" s="306"/>
      <c r="T5" s="306"/>
      <c r="U5" s="306"/>
      <c r="Y5"/>
    </row>
    <row r="6" spans="1:25" x14ac:dyDescent="0.2">
      <c r="A6" s="368" t="s">
        <v>9</v>
      </c>
      <c r="B6" s="368"/>
      <c r="C6" s="368"/>
      <c r="D6" s="385"/>
      <c r="E6" s="385"/>
      <c r="F6" s="385"/>
      <c r="G6" s="385"/>
      <c r="H6" s="385"/>
      <c r="I6" s="385"/>
      <c r="J6" s="385"/>
      <c r="K6" s="385"/>
      <c r="L6" s="221"/>
      <c r="M6" s="221"/>
      <c r="N6" s="385"/>
      <c r="O6" s="385"/>
      <c r="P6" s="385"/>
      <c r="Q6" s="385"/>
      <c r="R6" s="385" t="str">
        <f>IF(R5=47933,"Crawfordsville",IF(R5=47954,"Ladoga",IF(R5=47968,"New Ross",IF(R5=46172,"Roachdale",IF(R5=47955,"LINDEN",IF(R5=47981,"ROMNEY"," "))))))</f>
        <v xml:space="preserve"> </v>
      </c>
      <c r="S6" s="385"/>
      <c r="T6" s="385"/>
      <c r="U6" s="385"/>
      <c r="Y6"/>
    </row>
    <row r="7" spans="1:25" x14ac:dyDescent="0.2">
      <c r="A7" s="368" t="s">
        <v>10</v>
      </c>
      <c r="B7" s="368"/>
      <c r="C7" s="386"/>
      <c r="D7" s="381"/>
      <c r="E7" s="382"/>
      <c r="F7" s="382"/>
      <c r="G7" s="383"/>
      <c r="H7" s="381"/>
      <c r="I7" s="382"/>
      <c r="J7" s="382"/>
      <c r="K7" s="383"/>
      <c r="L7" s="221"/>
      <c r="M7" s="221"/>
      <c r="N7" s="381"/>
      <c r="O7" s="382"/>
      <c r="P7" s="382"/>
      <c r="Q7" s="383"/>
      <c r="R7" s="381"/>
      <c r="S7" s="382"/>
      <c r="T7" s="382"/>
      <c r="U7" s="383"/>
      <c r="Y7"/>
    </row>
    <row r="8" spans="1:25" x14ac:dyDescent="0.2">
      <c r="A8" s="373" t="s">
        <v>11</v>
      </c>
      <c r="B8" s="373"/>
      <c r="C8" s="373"/>
      <c r="D8" s="306"/>
      <c r="E8" s="306"/>
      <c r="F8" s="306"/>
      <c r="G8" s="7" t="str">
        <f>IF(D8="1 - 3 m","3",IF(D8="3 - 12 m","3",IF(D8="6 to 12 mos","3"," ")))</f>
        <v xml:space="preserve"> </v>
      </c>
      <c r="H8" s="306"/>
      <c r="I8" s="306"/>
      <c r="J8" s="306"/>
      <c r="K8" s="7" t="str">
        <f>IF(H8="1 - 3 m","3",IF(H8="3 - 12 m","3",IF(H8="6 to 12 mos","3"," ")))</f>
        <v xml:space="preserve"> </v>
      </c>
      <c r="L8" s="221"/>
      <c r="M8" s="221"/>
      <c r="N8" s="306"/>
      <c r="O8" s="306"/>
      <c r="P8" s="306"/>
      <c r="Q8" s="7" t="str">
        <f>IF(N8="1 - 3 m","3",IF(N8="3 - 12 m","3",IF(N8="6 to 12 mos","3"," ")))</f>
        <v xml:space="preserve"> </v>
      </c>
      <c r="R8" s="306"/>
      <c r="S8" s="306"/>
      <c r="T8" s="306"/>
      <c r="U8" s="7" t="str">
        <f>IF(R8="1 - 3 m","3",IF(R8="3 - 12 m","3",IF(R8="6 to 12 mos","3"," ")))</f>
        <v xml:space="preserve"> </v>
      </c>
      <c r="Y8"/>
    </row>
    <row r="9" spans="1:25" x14ac:dyDescent="0.2">
      <c r="A9" s="373" t="s">
        <v>12</v>
      </c>
      <c r="B9" s="373"/>
      <c r="C9" s="375"/>
      <c r="D9" s="370" t="s">
        <v>924</v>
      </c>
      <c r="E9" s="371"/>
      <c r="F9" s="371"/>
      <c r="G9" s="372"/>
      <c r="H9" s="370" t="s">
        <v>924</v>
      </c>
      <c r="I9" s="371"/>
      <c r="J9" s="371"/>
      <c r="K9" s="372"/>
      <c r="L9" s="221"/>
      <c r="M9" s="221"/>
      <c r="N9" s="370" t="s">
        <v>924</v>
      </c>
      <c r="O9" s="371"/>
      <c r="P9" s="371"/>
      <c r="Q9" s="372"/>
      <c r="R9" s="370" t="s">
        <v>924</v>
      </c>
      <c r="S9" s="371"/>
      <c r="T9" s="371"/>
      <c r="U9" s="372"/>
      <c r="Y9"/>
    </row>
    <row r="10" spans="1:25" x14ac:dyDescent="0.2">
      <c r="A10" s="368" t="s">
        <v>13</v>
      </c>
      <c r="B10" s="368"/>
      <c r="C10" s="368"/>
      <c r="D10" s="369"/>
      <c r="E10" s="369"/>
      <c r="F10" s="369"/>
      <c r="G10" s="369"/>
      <c r="H10" s="369"/>
      <c r="I10" s="369"/>
      <c r="J10" s="369"/>
      <c r="K10" s="369"/>
      <c r="L10" s="221"/>
      <c r="M10" s="221"/>
      <c r="N10" s="369"/>
      <c r="O10" s="369"/>
      <c r="P10" s="369"/>
      <c r="Q10" s="369"/>
      <c r="R10" s="369">
        <f>N10</f>
        <v>0</v>
      </c>
      <c r="S10" s="369"/>
      <c r="T10" s="369"/>
      <c r="U10" s="369"/>
      <c r="Y10"/>
    </row>
    <row r="11" spans="1:25" x14ac:dyDescent="0.2">
      <c r="A11" s="368" t="s">
        <v>14</v>
      </c>
      <c r="B11" s="368"/>
      <c r="C11" s="368"/>
      <c r="D11" s="369"/>
      <c r="E11" s="369"/>
      <c r="F11" s="369"/>
      <c r="G11" s="369"/>
      <c r="H11" s="369"/>
      <c r="I11" s="369"/>
      <c r="J11" s="369"/>
      <c r="K11" s="369"/>
      <c r="L11" s="221"/>
      <c r="M11" s="221"/>
      <c r="N11" s="369"/>
      <c r="O11" s="369"/>
      <c r="P11" s="369"/>
      <c r="Q11" s="369"/>
      <c r="R11" s="369"/>
      <c r="S11" s="369"/>
      <c r="T11" s="369"/>
      <c r="U11" s="369"/>
      <c r="Y11"/>
    </row>
    <row r="12" spans="1:25" x14ac:dyDescent="0.2">
      <c r="A12" s="368" t="s">
        <v>15</v>
      </c>
      <c r="B12" s="368"/>
      <c r="C12" s="368"/>
      <c r="D12" s="369"/>
      <c r="E12" s="369"/>
      <c r="F12" s="369"/>
      <c r="G12" s="369"/>
      <c r="H12" s="369"/>
      <c r="I12" s="369"/>
      <c r="J12" s="369"/>
      <c r="K12" s="369"/>
      <c r="L12" s="221"/>
      <c r="M12" s="221"/>
      <c r="N12" s="369"/>
      <c r="O12" s="369"/>
      <c r="P12" s="369"/>
      <c r="Q12" s="369"/>
      <c r="R12" s="369"/>
      <c r="S12" s="369"/>
      <c r="T12" s="369"/>
      <c r="U12" s="369"/>
      <c r="Y12"/>
    </row>
    <row r="13" spans="1:25" ht="24.75" customHeight="1" x14ac:dyDescent="0.2">
      <c r="A13" s="368" t="s">
        <v>16</v>
      </c>
      <c r="B13" s="368"/>
      <c r="C13" s="368"/>
      <c r="D13" s="395"/>
      <c r="E13" s="379"/>
      <c r="F13" s="379"/>
      <c r="G13" s="379"/>
      <c r="H13" s="395"/>
      <c r="I13" s="379"/>
      <c r="J13" s="379"/>
      <c r="K13" s="379"/>
      <c r="L13" s="221"/>
      <c r="M13" s="221"/>
      <c r="N13" s="379"/>
      <c r="O13" s="379"/>
      <c r="P13" s="379"/>
      <c r="Q13" s="379"/>
      <c r="R13" s="379"/>
      <c r="S13" s="379"/>
      <c r="T13" s="379"/>
      <c r="U13" s="379"/>
      <c r="Y13"/>
    </row>
    <row r="14" spans="1:25" x14ac:dyDescent="0.2">
      <c r="A14" s="368" t="s">
        <v>17</v>
      </c>
      <c r="B14" s="368"/>
      <c r="C14" s="368"/>
      <c r="D14" s="396" t="s">
        <v>924</v>
      </c>
      <c r="E14" s="396"/>
      <c r="F14" s="396"/>
      <c r="G14" s="396"/>
      <c r="H14" s="396" t="s">
        <v>924</v>
      </c>
      <c r="I14" s="396"/>
      <c r="J14" s="396"/>
      <c r="K14" s="409"/>
      <c r="L14" s="222" t="e">
        <f>DATE(MOD(N15,10000),TRUNC(N15/1000000),MOD(TRUNC(N15/10000),100))</f>
        <v>#VALUE!</v>
      </c>
      <c r="M14" s="222" t="e">
        <f>DATE(MOD(R15,10000),TRUNC(R15/1000000),MOD(TRUNC(R15/10000),100))</f>
        <v>#VALUE!</v>
      </c>
      <c r="N14" s="410" t="s">
        <v>924</v>
      </c>
      <c r="O14" s="396"/>
      <c r="P14" s="396"/>
      <c r="Q14" s="396"/>
      <c r="R14" s="396" t="s">
        <v>924</v>
      </c>
      <c r="S14" s="396"/>
      <c r="T14" s="396"/>
      <c r="U14" s="396"/>
      <c r="Y14"/>
    </row>
    <row r="15" spans="1:25" x14ac:dyDescent="0.2">
      <c r="A15" s="368" t="s">
        <v>18</v>
      </c>
      <c r="B15" s="368"/>
      <c r="C15" s="368"/>
      <c r="D15" s="405" t="s">
        <v>924</v>
      </c>
      <c r="E15" s="405"/>
      <c r="F15" s="405"/>
      <c r="G15" s="405"/>
      <c r="H15" s="405" t="s">
        <v>924</v>
      </c>
      <c r="I15" s="405"/>
      <c r="J15" s="405"/>
      <c r="K15" s="407"/>
      <c r="L15" s="222" t="e">
        <f>DATE(MOD(D15,10000),TRUNC(D15/1000000),MOD(TRUNC(D15/10000),100))</f>
        <v>#VALUE!</v>
      </c>
      <c r="M15" s="222" t="e">
        <f>DATE(MOD(H15,10000),TRUNC(H15/1000000),MOD(TRUNC(H15/10000),100))</f>
        <v>#VALUE!</v>
      </c>
      <c r="N15" s="406" t="s">
        <v>924</v>
      </c>
      <c r="O15" s="405"/>
      <c r="P15" s="405"/>
      <c r="Q15" s="405"/>
      <c r="R15" s="405" t="s">
        <v>924</v>
      </c>
      <c r="S15" s="405"/>
      <c r="T15" s="405"/>
      <c r="U15" s="405"/>
      <c r="Y15"/>
    </row>
    <row r="16" spans="1:25" ht="25.5" customHeight="1" x14ac:dyDescent="0.2">
      <c r="A16" s="368" t="s">
        <v>19</v>
      </c>
      <c r="B16" s="368"/>
      <c r="C16" s="368"/>
      <c r="D16" s="402" t="s">
        <v>924</v>
      </c>
      <c r="E16" s="403"/>
      <c r="F16" s="403"/>
      <c r="G16" s="404"/>
      <c r="H16" s="402" t="s">
        <v>924</v>
      </c>
      <c r="I16" s="403"/>
      <c r="J16" s="403"/>
      <c r="K16" s="403"/>
      <c r="L16" s="222" t="e">
        <f>DATE(MOD(R58,10000),TRUNC(R58/1000000),MOD(TRUNC(R58/10000),100))</f>
        <v>#NUM!</v>
      </c>
      <c r="M16" s="222" t="e">
        <f>DATE(MOD(R62,10000),TRUNC(R62/1000000),MOD(TRUNC(R62/10000),100))</f>
        <v>#NUM!</v>
      </c>
      <c r="N16" s="403" t="s">
        <v>924</v>
      </c>
      <c r="O16" s="403"/>
      <c r="P16" s="403"/>
      <c r="Q16" s="404"/>
      <c r="R16" s="402" t="s">
        <v>924</v>
      </c>
      <c r="S16" s="403"/>
      <c r="T16" s="403"/>
      <c r="U16" s="404"/>
      <c r="Y16"/>
    </row>
    <row r="17" spans="1:53" x14ac:dyDescent="0.2">
      <c r="A17" s="373" t="s">
        <v>20</v>
      </c>
      <c r="B17" s="373"/>
      <c r="C17" s="373"/>
      <c r="D17" s="306"/>
      <c r="E17" s="306"/>
      <c r="F17" s="306"/>
      <c r="G17" s="7" t="str">
        <f>IF(D17="1 - 3 m","3",IF(D17="3 - 12 m","3",IF(D17="6 to 12 mos","3"," ")))</f>
        <v xml:space="preserve"> </v>
      </c>
      <c r="H17" s="306"/>
      <c r="I17" s="306"/>
      <c r="J17" s="306"/>
      <c r="K17" s="7" t="str">
        <f>IF(H17="1 - 3 m","3",IF(H17="3 - 12 m","3",IF(H17="6 to 12 mos","3"," ")))</f>
        <v xml:space="preserve"> </v>
      </c>
      <c r="L17" s="222" t="e">
        <f>DATE(MOD(O20,10000),TRUNC(O20/1000000),MOD(TRUNC(O20/10000),100))</f>
        <v>#NUM!</v>
      </c>
      <c r="M17" s="222" t="e">
        <f>DATE(MOD(S20,10000),TRUNC(S20/1000000),MOD(TRUNC(S20/10000),100))</f>
        <v>#NUM!</v>
      </c>
      <c r="N17" s="372"/>
      <c r="O17" s="306"/>
      <c r="P17" s="306"/>
      <c r="Q17" s="7" t="str">
        <f>IF(N17="1 - 3 m","3",IF(N17="3 - 12 m","3",IF(N17="6 to 12 mos","3"," ")))</f>
        <v xml:space="preserve"> </v>
      </c>
      <c r="R17" s="306"/>
      <c r="S17" s="306"/>
      <c r="T17" s="306"/>
      <c r="U17" s="7" t="str">
        <f>IF(R17="1 - 3 m","3",IF(R17="3 - 12 m","3",IF(R17="6 to 12 mos","3"," ")))</f>
        <v xml:space="preserve"> </v>
      </c>
      <c r="Y17"/>
    </row>
    <row r="18" spans="1:53" ht="13.5" thickBot="1" x14ac:dyDescent="0.25">
      <c r="A18" s="368" t="s">
        <v>21</v>
      </c>
      <c r="B18" s="368"/>
      <c r="C18" s="368"/>
      <c r="D18" s="306"/>
      <c r="E18" s="306"/>
      <c r="F18" s="306"/>
      <c r="G18" s="306"/>
      <c r="H18" s="306"/>
      <c r="I18" s="306"/>
      <c r="J18" s="306"/>
      <c r="K18" s="370"/>
      <c r="L18" s="223" t="e">
        <f>DATE(MOD(E21,10000),TRUNC(E21/1000000),MOD(TRUNC(E21/10000),100))</f>
        <v>#NUM!</v>
      </c>
      <c r="M18" s="223" t="e">
        <f>DATE(MOD(I21,10000),TRUNC(I21/1000000),MOD(TRUNC(I21/10000),100))</f>
        <v>#NUM!</v>
      </c>
      <c r="N18" s="372"/>
      <c r="O18" s="306"/>
      <c r="P18" s="306"/>
      <c r="Q18" s="306"/>
      <c r="R18" s="306"/>
      <c r="S18" s="306"/>
      <c r="T18" s="306"/>
      <c r="U18" s="306"/>
      <c r="Y18"/>
    </row>
    <row r="19" spans="1:53" ht="13.15" customHeight="1" x14ac:dyDescent="0.2">
      <c r="A19" s="368" t="s">
        <v>22</v>
      </c>
      <c r="B19" s="368"/>
      <c r="C19" s="368"/>
      <c r="D19" s="306"/>
      <c r="E19" s="306"/>
      <c r="F19" s="306"/>
      <c r="G19" s="306"/>
      <c r="H19" s="306"/>
      <c r="I19" s="306"/>
      <c r="J19" s="394"/>
      <c r="K19" s="408"/>
      <c r="L19" s="387" t="s">
        <v>23</v>
      </c>
      <c r="M19" s="388"/>
      <c r="N19" s="372"/>
      <c r="O19" s="306"/>
      <c r="P19" s="394"/>
      <c r="Q19" s="394"/>
      <c r="R19" s="306"/>
      <c r="S19" s="306"/>
      <c r="T19" s="394"/>
      <c r="U19" s="394"/>
      <c r="Y19"/>
    </row>
    <row r="20" spans="1:53" x14ac:dyDescent="0.2">
      <c r="A20" s="373" t="s">
        <v>24</v>
      </c>
      <c r="B20" s="376"/>
      <c r="C20" s="376"/>
      <c r="D20" s="397" t="s">
        <v>924</v>
      </c>
      <c r="E20" s="398"/>
      <c r="F20" s="377"/>
      <c r="G20" s="378"/>
      <c r="H20" s="397" t="s">
        <v>924</v>
      </c>
      <c r="I20" s="398"/>
      <c r="J20" s="377"/>
      <c r="K20" s="378"/>
      <c r="L20" s="387"/>
      <c r="M20" s="388"/>
      <c r="N20" s="397" t="s">
        <v>924</v>
      </c>
      <c r="O20" s="398"/>
      <c r="P20" s="397"/>
      <c r="Q20" s="398"/>
      <c r="R20" s="398" t="s">
        <v>924</v>
      </c>
      <c r="S20" s="398"/>
      <c r="T20" s="398"/>
      <c r="U20" s="398"/>
      <c r="Y20"/>
    </row>
    <row r="21" spans="1:53" ht="19.5" customHeight="1" thickBot="1" x14ac:dyDescent="0.25">
      <c r="A21" s="373" t="s">
        <v>25</v>
      </c>
      <c r="B21" s="373"/>
      <c r="C21" s="375"/>
      <c r="D21" s="224"/>
      <c r="E21" s="391"/>
      <c r="F21" s="391"/>
      <c r="G21" s="417"/>
      <c r="H21" s="224"/>
      <c r="I21" s="391"/>
      <c r="J21" s="392"/>
      <c r="K21" s="392"/>
      <c r="L21" s="389" t="e">
        <f>AVERAGE(D21,H21,N21,R21)</f>
        <v>#DIV/0!</v>
      </c>
      <c r="M21" s="390"/>
      <c r="N21" s="225"/>
      <c r="O21" s="391"/>
      <c r="P21" s="392"/>
      <c r="Q21" s="393"/>
      <c r="R21" s="224"/>
      <c r="S21" s="391"/>
      <c r="T21" s="392"/>
      <c r="U21" s="393"/>
      <c r="Y21"/>
    </row>
    <row r="22" spans="1:53" ht="18.75" customHeight="1" thickBot="1" x14ac:dyDescent="0.25">
      <c r="A22" s="373" t="s">
        <v>26</v>
      </c>
      <c r="B22" s="373"/>
      <c r="C22" s="375"/>
      <c r="D22" s="399"/>
      <c r="E22" s="400"/>
      <c r="F22" s="400"/>
      <c r="G22" s="401"/>
      <c r="H22" s="399"/>
      <c r="I22" s="400"/>
      <c r="J22" s="400"/>
      <c r="K22" s="400"/>
      <c r="L22" s="226"/>
      <c r="M22" s="227"/>
      <c r="N22" s="400"/>
      <c r="O22" s="400"/>
      <c r="P22" s="400"/>
      <c r="Q22" s="401"/>
      <c r="R22" s="399"/>
      <c r="S22" s="400"/>
      <c r="T22" s="400"/>
      <c r="U22" s="401"/>
      <c r="Y22"/>
    </row>
    <row r="23" spans="1:53" ht="15" customHeight="1" thickTop="1" thickBot="1" x14ac:dyDescent="0.35">
      <c r="A23" s="291"/>
      <c r="B23" s="291"/>
      <c r="C23" s="291"/>
      <c r="D23" s="365" t="s">
        <v>27</v>
      </c>
      <c r="E23" s="365"/>
      <c r="F23" s="365"/>
      <c r="G23" s="365"/>
      <c r="H23" s="365" t="s">
        <v>28</v>
      </c>
      <c r="I23" s="365"/>
      <c r="J23" s="365"/>
      <c r="K23" s="365"/>
      <c r="L23" s="361" t="s">
        <v>29</v>
      </c>
      <c r="M23" s="362"/>
      <c r="N23" s="228" t="s">
        <v>30</v>
      </c>
      <c r="O23" s="228"/>
      <c r="P23" s="228"/>
      <c r="Q23" s="228"/>
      <c r="R23" s="365" t="s">
        <v>31</v>
      </c>
      <c r="S23" s="365"/>
      <c r="T23" s="365"/>
      <c r="U23" s="365"/>
      <c r="W23" s="282" t="s">
        <v>32</v>
      </c>
      <c r="X23" s="264"/>
      <c r="Y23" s="266" t="str">
        <f>D3</f>
        <v/>
      </c>
      <c r="Z23" s="257" t="s">
        <v>928</v>
      </c>
      <c r="AA23" s="266" t="str">
        <f>D3</f>
        <v/>
      </c>
      <c r="AB23" s="255">
        <v>0</v>
      </c>
      <c r="AC23" s="266" t="str">
        <f>H3</f>
        <v/>
      </c>
      <c r="AD23" s="257" t="s">
        <v>928</v>
      </c>
      <c r="AE23" s="259" t="s">
        <v>929</v>
      </c>
      <c r="AF23" s="258" t="s">
        <v>928</v>
      </c>
      <c r="AG23" s="266" t="str">
        <f>N3</f>
        <v/>
      </c>
      <c r="AH23" s="257" t="s">
        <v>928</v>
      </c>
      <c r="AI23" s="259">
        <v>0</v>
      </c>
      <c r="AJ23" s="262" t="s">
        <v>928</v>
      </c>
      <c r="AK23" s="266" t="str">
        <f>R3</f>
        <v/>
      </c>
      <c r="AL23" s="257" t="s">
        <v>928</v>
      </c>
      <c r="AM23" s="259">
        <v>0</v>
      </c>
      <c r="AN23" s="262" t="s">
        <v>928</v>
      </c>
      <c r="AV23" s="268" t="s">
        <v>933</v>
      </c>
      <c r="AW23" s="267"/>
      <c r="AX23" s="267"/>
      <c r="AY23" s="255"/>
      <c r="AZ23" s="255"/>
      <c r="BA23" s="255"/>
    </row>
    <row r="24" spans="1:53" ht="20.25" thickTop="1" thickBot="1" x14ac:dyDescent="0.35">
      <c r="A24" s="360" t="s">
        <v>32</v>
      </c>
      <c r="B24" s="360"/>
      <c r="C24" s="360"/>
      <c r="D24" s="352" t="s">
        <v>33</v>
      </c>
      <c r="E24" s="352"/>
      <c r="F24" s="351" t="s">
        <v>34</v>
      </c>
      <c r="G24" s="351"/>
      <c r="H24" s="352" t="s">
        <v>33</v>
      </c>
      <c r="I24" s="352"/>
      <c r="J24" s="351" t="s">
        <v>34</v>
      </c>
      <c r="K24" s="351"/>
      <c r="L24" s="363"/>
      <c r="M24" s="364"/>
      <c r="N24" s="352" t="s">
        <v>33</v>
      </c>
      <c r="O24" s="352"/>
      <c r="P24" s="351" t="s">
        <v>34</v>
      </c>
      <c r="Q24" s="351"/>
      <c r="R24" s="352" t="s">
        <v>33</v>
      </c>
      <c r="S24" s="352"/>
      <c r="T24" s="351" t="s">
        <v>34</v>
      </c>
      <c r="U24" s="351"/>
      <c r="W24" s="264"/>
      <c r="X24" s="264"/>
      <c r="Y24" s="277" t="s">
        <v>924</v>
      </c>
      <c r="Z24" s="274">
        <v>0</v>
      </c>
      <c r="AA24" s="278" t="s">
        <v>924</v>
      </c>
      <c r="AB24" s="274">
        <v>0</v>
      </c>
      <c r="AC24" s="278"/>
      <c r="AD24" s="275">
        <v>0</v>
      </c>
      <c r="AE24" s="275"/>
      <c r="AF24" s="275">
        <v>0</v>
      </c>
      <c r="AG24" s="278"/>
      <c r="AH24" s="275">
        <v>0</v>
      </c>
      <c r="AI24" s="278"/>
      <c r="AJ24" s="275">
        <v>0</v>
      </c>
      <c r="AK24" s="278"/>
      <c r="AL24" s="275">
        <v>0</v>
      </c>
      <c r="AM24" s="278"/>
      <c r="AN24" s="275">
        <v>0</v>
      </c>
      <c r="AW24" s="267"/>
      <c r="AX24" s="267"/>
      <c r="AY24" s="255"/>
      <c r="AZ24" s="255"/>
      <c r="BA24" s="255"/>
    </row>
    <row r="25" spans="1:53" ht="20.25" thickTop="1" thickBot="1" x14ac:dyDescent="0.35">
      <c r="A25" s="296"/>
      <c r="B25" s="296"/>
      <c r="C25" s="303"/>
      <c r="D25" s="306" t="s">
        <v>924</v>
      </c>
      <c r="E25" s="306"/>
      <c r="F25" s="367">
        <v>0</v>
      </c>
      <c r="G25" s="367"/>
      <c r="H25" s="306"/>
      <c r="I25" s="306"/>
      <c r="J25" s="354">
        <v>0</v>
      </c>
      <c r="K25" s="354"/>
      <c r="L25" s="363"/>
      <c r="M25" s="364"/>
      <c r="N25" s="306"/>
      <c r="O25" s="306"/>
      <c r="P25" s="354">
        <v>0</v>
      </c>
      <c r="Q25" s="354"/>
      <c r="R25" s="306"/>
      <c r="S25" s="306"/>
      <c r="T25" s="354">
        <v>0</v>
      </c>
      <c r="U25" s="354"/>
      <c r="W25" s="264"/>
      <c r="X25" s="264"/>
      <c r="Y25" s="277" t="s">
        <v>924</v>
      </c>
      <c r="Z25" s="274">
        <v>0</v>
      </c>
      <c r="AA25" s="278" t="s">
        <v>924</v>
      </c>
      <c r="AB25" s="274">
        <v>0</v>
      </c>
      <c r="AC25" s="278"/>
      <c r="AD25" s="275">
        <v>0</v>
      </c>
      <c r="AE25" s="275"/>
      <c r="AF25" s="275">
        <v>0</v>
      </c>
      <c r="AG25" s="278"/>
      <c r="AH25" s="275">
        <v>0</v>
      </c>
      <c r="AI25" s="278"/>
      <c r="AJ25" s="275">
        <v>0</v>
      </c>
      <c r="AK25" s="278"/>
      <c r="AL25" s="275">
        <v>0</v>
      </c>
      <c r="AM25" s="278"/>
      <c r="AN25" s="275">
        <v>0</v>
      </c>
      <c r="AW25" s="267"/>
      <c r="AX25" s="267"/>
      <c r="AY25" s="255"/>
      <c r="AZ25" s="255"/>
      <c r="BA25" s="255"/>
    </row>
    <row r="26" spans="1:53" ht="20.25" thickTop="1" thickBot="1" x14ac:dyDescent="0.35">
      <c r="A26" s="296"/>
      <c r="B26" s="296"/>
      <c r="C26" s="303"/>
      <c r="D26" s="306" t="s">
        <v>924</v>
      </c>
      <c r="E26" s="306"/>
      <c r="F26" s="367">
        <v>0</v>
      </c>
      <c r="G26" s="367"/>
      <c r="H26" s="306"/>
      <c r="I26" s="306"/>
      <c r="J26" s="354">
        <v>0</v>
      </c>
      <c r="K26" s="354"/>
      <c r="L26" s="363"/>
      <c r="M26" s="364"/>
      <c r="N26" s="306"/>
      <c r="O26" s="306"/>
      <c r="P26" s="354">
        <v>0</v>
      </c>
      <c r="Q26" s="354"/>
      <c r="R26" s="306"/>
      <c r="S26" s="306"/>
      <c r="T26" s="354">
        <v>0</v>
      </c>
      <c r="U26" s="354"/>
      <c r="W26" s="264"/>
      <c r="X26" s="264"/>
      <c r="Y26" s="277" t="s">
        <v>924</v>
      </c>
      <c r="Z26" s="274">
        <v>0</v>
      </c>
      <c r="AA26" s="278" t="s">
        <v>924</v>
      </c>
      <c r="AB26" s="274">
        <v>0</v>
      </c>
      <c r="AC26" s="278"/>
      <c r="AD26" s="275">
        <v>0</v>
      </c>
      <c r="AE26" s="275"/>
      <c r="AF26" s="275">
        <v>0</v>
      </c>
      <c r="AG26" s="278"/>
      <c r="AH26" s="275">
        <v>0</v>
      </c>
      <c r="AI26" s="278"/>
      <c r="AJ26" s="275">
        <v>0</v>
      </c>
      <c r="AK26" s="278"/>
      <c r="AL26" s="275">
        <v>0</v>
      </c>
      <c r="AM26" s="278"/>
      <c r="AN26" s="275">
        <v>0</v>
      </c>
      <c r="AR26" s="268" t="s">
        <v>931</v>
      </c>
      <c r="AS26" s="268" t="s">
        <v>37</v>
      </c>
      <c r="AT26" s="268" t="s">
        <v>934</v>
      </c>
      <c r="AW26" s="267"/>
      <c r="AX26" s="267"/>
      <c r="AY26" s="255"/>
      <c r="AZ26" s="255"/>
      <c r="BA26" s="255"/>
    </row>
    <row r="27" spans="1:53" ht="20.25" thickTop="1" thickBot="1" x14ac:dyDescent="0.35">
      <c r="A27" s="296"/>
      <c r="B27" s="296"/>
      <c r="C27" s="303"/>
      <c r="D27" s="306" t="s">
        <v>924</v>
      </c>
      <c r="E27" s="306"/>
      <c r="F27" s="367">
        <v>0</v>
      </c>
      <c r="G27" s="367"/>
      <c r="H27" s="306"/>
      <c r="I27" s="306"/>
      <c r="J27" s="354">
        <v>0</v>
      </c>
      <c r="K27" s="354"/>
      <c r="L27" s="363"/>
      <c r="M27" s="364"/>
      <c r="N27" s="306"/>
      <c r="O27" s="306"/>
      <c r="P27" s="354">
        <v>0</v>
      </c>
      <c r="Q27" s="354"/>
      <c r="R27" s="306"/>
      <c r="S27" s="306"/>
      <c r="T27" s="354">
        <v>0</v>
      </c>
      <c r="U27" s="354"/>
      <c r="W27" s="264"/>
      <c r="X27" s="264"/>
      <c r="Y27" s="277" t="s">
        <v>924</v>
      </c>
      <c r="Z27" s="274">
        <v>0</v>
      </c>
      <c r="AA27" s="278" t="s">
        <v>924</v>
      </c>
      <c r="AB27" s="274">
        <v>0</v>
      </c>
      <c r="AC27" s="278"/>
      <c r="AD27" s="275">
        <v>0</v>
      </c>
      <c r="AE27" s="275"/>
      <c r="AF27" s="275">
        <v>0</v>
      </c>
      <c r="AG27" s="278"/>
      <c r="AH27" s="275">
        <v>0</v>
      </c>
      <c r="AI27" s="278"/>
      <c r="AJ27" s="275">
        <v>0</v>
      </c>
      <c r="AK27" s="278"/>
      <c r="AL27" s="275">
        <v>0</v>
      </c>
      <c r="AM27" s="278"/>
      <c r="AN27" s="275">
        <v>0</v>
      </c>
      <c r="AQ27" s="268" t="str">
        <f>D3</f>
        <v/>
      </c>
      <c r="AR27" s="270">
        <f>F37</f>
        <v>0</v>
      </c>
      <c r="AS27" s="269">
        <f>D44</f>
        <v>0</v>
      </c>
      <c r="AT27" t="e">
        <f>(F37+B130)/D44</f>
        <v>#DIV/0!</v>
      </c>
      <c r="AW27" s="267"/>
      <c r="AX27" s="267"/>
      <c r="AY27" s="255"/>
      <c r="AZ27" s="255"/>
      <c r="BA27" s="255"/>
    </row>
    <row r="28" spans="1:53" ht="20.25" thickTop="1" thickBot="1" x14ac:dyDescent="0.35">
      <c r="A28" s="296"/>
      <c r="B28" s="296"/>
      <c r="C28" s="303"/>
      <c r="D28" s="306" t="s">
        <v>924</v>
      </c>
      <c r="E28" s="306"/>
      <c r="F28" s="367">
        <v>0</v>
      </c>
      <c r="G28" s="367"/>
      <c r="H28" s="306"/>
      <c r="I28" s="306"/>
      <c r="J28" s="354">
        <v>0</v>
      </c>
      <c r="K28" s="354"/>
      <c r="L28" s="363"/>
      <c r="M28" s="364"/>
      <c r="N28" s="306"/>
      <c r="O28" s="306"/>
      <c r="P28" s="354">
        <v>0</v>
      </c>
      <c r="Q28" s="354"/>
      <c r="R28" s="306"/>
      <c r="S28" s="306"/>
      <c r="T28" s="354">
        <v>0</v>
      </c>
      <c r="U28" s="354"/>
      <c r="W28" s="264"/>
      <c r="X28" s="264"/>
      <c r="Y28" s="277" t="s">
        <v>924</v>
      </c>
      <c r="Z28" s="274">
        <v>0</v>
      </c>
      <c r="AA28" s="278"/>
      <c r="AB28" s="274">
        <v>0</v>
      </c>
      <c r="AC28" s="278"/>
      <c r="AD28" s="275">
        <v>0</v>
      </c>
      <c r="AE28" s="275"/>
      <c r="AF28" s="275">
        <v>0</v>
      </c>
      <c r="AG28" s="278"/>
      <c r="AH28" s="275">
        <v>0</v>
      </c>
      <c r="AI28" s="278"/>
      <c r="AJ28" s="275">
        <v>0</v>
      </c>
      <c r="AK28" s="278"/>
      <c r="AL28" s="275">
        <v>0</v>
      </c>
      <c r="AM28" s="278"/>
      <c r="AN28" s="275">
        <v>0</v>
      </c>
      <c r="AQ28" s="268" t="str">
        <f>H3</f>
        <v/>
      </c>
      <c r="AR28" s="269">
        <f>J37</f>
        <v>0</v>
      </c>
      <c r="AS28" s="269">
        <f>H44</f>
        <v>0</v>
      </c>
      <c r="AT28" t="e">
        <f>(J37+F37+B130)/(H44+D44)</f>
        <v>#DIV/0!</v>
      </c>
      <c r="AW28" s="267"/>
      <c r="AX28" s="267"/>
      <c r="AY28" s="255"/>
      <c r="AZ28" s="255"/>
      <c r="BA28" s="255"/>
    </row>
    <row r="29" spans="1:53" ht="20.25" thickTop="1" thickBot="1" x14ac:dyDescent="0.35">
      <c r="A29" s="296"/>
      <c r="B29" s="296"/>
      <c r="C29" s="303"/>
      <c r="D29" s="306" t="s">
        <v>924</v>
      </c>
      <c r="E29" s="306"/>
      <c r="F29" s="367">
        <v>0</v>
      </c>
      <c r="G29" s="367"/>
      <c r="H29" s="306"/>
      <c r="I29" s="306"/>
      <c r="J29" s="354">
        <v>0</v>
      </c>
      <c r="K29" s="354"/>
      <c r="L29" s="363"/>
      <c r="M29" s="364"/>
      <c r="N29" s="306"/>
      <c r="O29" s="306"/>
      <c r="P29" s="354">
        <v>0</v>
      </c>
      <c r="Q29" s="354"/>
      <c r="R29" s="306"/>
      <c r="S29" s="306"/>
      <c r="T29" s="354">
        <v>0</v>
      </c>
      <c r="U29" s="354"/>
      <c r="W29" s="264"/>
      <c r="X29" s="264"/>
      <c r="Y29" s="277" t="s">
        <v>924</v>
      </c>
      <c r="Z29" s="274">
        <v>0</v>
      </c>
      <c r="AA29" s="278"/>
      <c r="AB29" s="274">
        <v>0</v>
      </c>
      <c r="AC29" s="278"/>
      <c r="AD29" s="275">
        <v>0</v>
      </c>
      <c r="AE29" s="275"/>
      <c r="AF29" s="275">
        <v>0</v>
      </c>
      <c r="AG29" s="278"/>
      <c r="AH29" s="275">
        <v>0</v>
      </c>
      <c r="AI29" s="278"/>
      <c r="AJ29" s="275">
        <v>0</v>
      </c>
      <c r="AK29" s="278"/>
      <c r="AL29" s="275">
        <v>0</v>
      </c>
      <c r="AM29" s="278"/>
      <c r="AN29" s="275">
        <v>0</v>
      </c>
      <c r="AQ29" s="268" t="str">
        <f>N3</f>
        <v/>
      </c>
      <c r="AR29" s="269">
        <f>P37</f>
        <v>0</v>
      </c>
      <c r="AS29" s="269">
        <f>N44</f>
        <v>0</v>
      </c>
      <c r="AT29" s="154" t="e">
        <f>(P37+R68)/N44</f>
        <v>#DIV/0!</v>
      </c>
      <c r="AW29" s="267"/>
      <c r="AX29" s="267"/>
      <c r="AY29" s="255"/>
      <c r="AZ29" s="255"/>
      <c r="BA29" s="255"/>
    </row>
    <row r="30" spans="1:53" ht="20.25" thickTop="1" thickBot="1" x14ac:dyDescent="0.35">
      <c r="A30" s="296"/>
      <c r="B30" s="296"/>
      <c r="C30" s="303"/>
      <c r="D30" s="306" t="s">
        <v>924</v>
      </c>
      <c r="E30" s="306"/>
      <c r="F30" s="367">
        <v>0</v>
      </c>
      <c r="G30" s="367"/>
      <c r="H30" s="306"/>
      <c r="I30" s="306"/>
      <c r="J30" s="354">
        <v>0</v>
      </c>
      <c r="K30" s="354"/>
      <c r="L30" s="363"/>
      <c r="M30" s="364"/>
      <c r="N30" s="306"/>
      <c r="O30" s="306"/>
      <c r="P30" s="354">
        <v>0</v>
      </c>
      <c r="Q30" s="354"/>
      <c r="R30" s="306"/>
      <c r="S30" s="306"/>
      <c r="T30" s="354">
        <v>0</v>
      </c>
      <c r="U30" s="354"/>
      <c r="W30" s="264"/>
      <c r="X30" s="264"/>
      <c r="Y30" s="277" t="s">
        <v>924</v>
      </c>
      <c r="Z30" s="274">
        <v>0</v>
      </c>
      <c r="AA30" s="278"/>
      <c r="AB30" s="274">
        <v>0</v>
      </c>
      <c r="AC30" s="278"/>
      <c r="AD30" s="275">
        <v>0</v>
      </c>
      <c r="AE30" s="275"/>
      <c r="AF30" s="275">
        <v>0</v>
      </c>
      <c r="AG30" s="278"/>
      <c r="AH30" s="275">
        <v>0</v>
      </c>
      <c r="AI30" s="278"/>
      <c r="AJ30" s="275">
        <v>0</v>
      </c>
      <c r="AK30" s="278"/>
      <c r="AL30" s="275">
        <v>0</v>
      </c>
      <c r="AM30" s="278"/>
      <c r="AN30" s="275">
        <v>0</v>
      </c>
      <c r="AQ30" s="268" t="str">
        <f>R3</f>
        <v/>
      </c>
      <c r="AR30" s="269">
        <f>T37</f>
        <v>0</v>
      </c>
      <c r="AS30" s="269">
        <f>R44</f>
        <v>0</v>
      </c>
      <c r="AT30" t="e">
        <f>(T37+P37+R68)/(R44+N44)</f>
        <v>#DIV/0!</v>
      </c>
      <c r="AW30" s="267"/>
      <c r="AX30" s="267"/>
      <c r="AY30" s="255"/>
      <c r="AZ30" s="255"/>
      <c r="BA30" s="255"/>
    </row>
    <row r="31" spans="1:53" ht="20.25" thickTop="1" thickBot="1" x14ac:dyDescent="0.35">
      <c r="A31" s="296"/>
      <c r="B31" s="296"/>
      <c r="C31" s="303"/>
      <c r="D31" s="306" t="s">
        <v>924</v>
      </c>
      <c r="E31" s="306"/>
      <c r="F31" s="367">
        <v>0</v>
      </c>
      <c r="G31" s="367"/>
      <c r="H31" s="306"/>
      <c r="I31" s="306"/>
      <c r="J31" s="354">
        <v>0</v>
      </c>
      <c r="K31" s="354"/>
      <c r="L31" s="363"/>
      <c r="M31" s="364"/>
      <c r="N31" s="306"/>
      <c r="O31" s="306"/>
      <c r="P31" s="354">
        <v>0</v>
      </c>
      <c r="Q31" s="354"/>
      <c r="R31" s="306"/>
      <c r="S31" s="306"/>
      <c r="T31" s="354">
        <v>0</v>
      </c>
      <c r="U31" s="354"/>
      <c r="W31" s="264"/>
      <c r="X31" s="264"/>
      <c r="Y31" s="277" t="s">
        <v>924</v>
      </c>
      <c r="Z31" s="274">
        <v>0</v>
      </c>
      <c r="AA31" s="278"/>
      <c r="AB31" s="274">
        <v>0</v>
      </c>
      <c r="AC31" s="278"/>
      <c r="AD31" s="275">
        <v>0</v>
      </c>
      <c r="AE31" s="275"/>
      <c r="AF31" s="275">
        <v>0</v>
      </c>
      <c r="AG31" s="278"/>
      <c r="AH31" s="275">
        <v>0</v>
      </c>
      <c r="AI31" s="278"/>
      <c r="AJ31" s="275">
        <v>0</v>
      </c>
      <c r="AK31" s="278"/>
      <c r="AL31" s="275">
        <v>0</v>
      </c>
      <c r="AM31" s="278"/>
      <c r="AN31" s="275">
        <v>0</v>
      </c>
      <c r="AW31" s="267"/>
      <c r="AX31" s="267"/>
      <c r="AY31" s="255"/>
      <c r="AZ31" s="255"/>
      <c r="BA31" s="255"/>
    </row>
    <row r="32" spans="1:53" ht="20.25" thickTop="1" thickBot="1" x14ac:dyDescent="0.35">
      <c r="A32" s="296"/>
      <c r="B32" s="296"/>
      <c r="C32" s="303"/>
      <c r="D32" s="306" t="s">
        <v>924</v>
      </c>
      <c r="E32" s="306"/>
      <c r="F32" s="367">
        <v>0</v>
      </c>
      <c r="G32" s="367"/>
      <c r="H32" s="306"/>
      <c r="I32" s="306"/>
      <c r="J32" s="354">
        <v>0</v>
      </c>
      <c r="K32" s="354"/>
      <c r="L32" s="363"/>
      <c r="M32" s="364"/>
      <c r="N32" s="306"/>
      <c r="O32" s="306"/>
      <c r="P32" s="354">
        <v>0</v>
      </c>
      <c r="Q32" s="354"/>
      <c r="R32" s="306"/>
      <c r="S32" s="306"/>
      <c r="T32" s="354">
        <v>0</v>
      </c>
      <c r="U32" s="354"/>
      <c r="W32" s="264"/>
      <c r="X32" s="264"/>
      <c r="Y32" s="277" t="s">
        <v>924</v>
      </c>
      <c r="Z32" s="274">
        <v>0</v>
      </c>
      <c r="AA32" s="278"/>
      <c r="AB32" s="274">
        <v>0</v>
      </c>
      <c r="AC32" s="278"/>
      <c r="AD32" s="275">
        <v>0</v>
      </c>
      <c r="AE32" s="275"/>
      <c r="AF32" s="275">
        <v>0</v>
      </c>
      <c r="AG32" s="278"/>
      <c r="AH32" s="275">
        <v>0</v>
      </c>
      <c r="AI32" s="278"/>
      <c r="AJ32" s="275">
        <v>0</v>
      </c>
      <c r="AK32" s="278"/>
      <c r="AL32" s="275">
        <v>0</v>
      </c>
      <c r="AM32" s="278"/>
      <c r="AN32" s="275">
        <v>0</v>
      </c>
      <c r="AW32" s="267"/>
      <c r="AX32" s="267"/>
      <c r="AY32" s="255"/>
      <c r="AZ32" s="255"/>
      <c r="BA32" s="255"/>
    </row>
    <row r="33" spans="1:50" ht="19.5" thickTop="1" x14ac:dyDescent="0.3">
      <c r="A33" s="296"/>
      <c r="B33" s="296"/>
      <c r="C33" s="303"/>
      <c r="D33" s="306" t="s">
        <v>924</v>
      </c>
      <c r="E33" s="306"/>
      <c r="F33" s="367">
        <v>0</v>
      </c>
      <c r="G33" s="367"/>
      <c r="H33" s="306"/>
      <c r="I33" s="306"/>
      <c r="J33" s="354">
        <v>0</v>
      </c>
      <c r="K33" s="354"/>
      <c r="L33" s="363"/>
      <c r="M33" s="364"/>
      <c r="N33" s="306"/>
      <c r="O33" s="306"/>
      <c r="P33" s="354">
        <v>0</v>
      </c>
      <c r="Q33" s="354"/>
      <c r="R33" s="306"/>
      <c r="S33" s="306"/>
      <c r="T33" s="354">
        <v>0</v>
      </c>
      <c r="U33" s="354"/>
      <c r="W33" s="264"/>
      <c r="X33" s="264"/>
      <c r="Y33" s="277" t="s">
        <v>924</v>
      </c>
      <c r="Z33" s="274">
        <v>0</v>
      </c>
      <c r="AA33" s="278"/>
      <c r="AB33" s="274">
        <v>0</v>
      </c>
      <c r="AC33" s="278"/>
      <c r="AD33" s="275">
        <v>0</v>
      </c>
      <c r="AE33" s="275"/>
      <c r="AF33" s="275">
        <v>0</v>
      </c>
      <c r="AG33" s="278"/>
      <c r="AH33" s="275">
        <v>0</v>
      </c>
      <c r="AI33" s="278"/>
      <c r="AJ33" s="275">
        <v>0</v>
      </c>
      <c r="AK33" s="278"/>
      <c r="AL33" s="275">
        <v>0</v>
      </c>
      <c r="AM33" s="278"/>
      <c r="AN33" s="275">
        <v>0</v>
      </c>
    </row>
    <row r="34" spans="1:50" ht="18.75" x14ac:dyDescent="0.3">
      <c r="A34" s="296"/>
      <c r="B34" s="296"/>
      <c r="C34" s="303"/>
      <c r="D34" s="366" t="s">
        <v>924</v>
      </c>
      <c r="E34" s="366"/>
      <c r="F34" s="374">
        <v>0</v>
      </c>
      <c r="G34" s="374"/>
      <c r="H34" s="366"/>
      <c r="I34" s="366"/>
      <c r="J34" s="412">
        <v>0</v>
      </c>
      <c r="K34" s="412"/>
      <c r="L34" s="363"/>
      <c r="M34" s="364"/>
      <c r="N34" s="366"/>
      <c r="O34" s="366"/>
      <c r="P34" s="412">
        <v>0</v>
      </c>
      <c r="Q34" s="412"/>
      <c r="R34" s="366"/>
      <c r="S34" s="366"/>
      <c r="T34" s="412">
        <v>0</v>
      </c>
      <c r="U34" s="412"/>
      <c r="W34" s="264"/>
      <c r="X34" s="264"/>
      <c r="Y34" s="277" t="s">
        <v>924</v>
      </c>
      <c r="Z34" s="275">
        <v>0</v>
      </c>
      <c r="AA34" s="278"/>
      <c r="AB34" s="274">
        <v>0</v>
      </c>
      <c r="AC34" s="278"/>
      <c r="AD34" s="275">
        <v>0</v>
      </c>
      <c r="AE34" s="275"/>
      <c r="AF34" s="275">
        <v>0</v>
      </c>
      <c r="AG34" s="278"/>
      <c r="AH34" s="275">
        <v>0</v>
      </c>
      <c r="AI34" s="278"/>
      <c r="AJ34" s="275">
        <v>0</v>
      </c>
      <c r="AK34" s="278"/>
      <c r="AL34" s="275">
        <v>0</v>
      </c>
      <c r="AM34" s="278"/>
      <c r="AN34" s="275">
        <v>0</v>
      </c>
    </row>
    <row r="35" spans="1:50" ht="1.1499999999999999" customHeight="1" x14ac:dyDescent="0.25">
      <c r="A35" s="358"/>
      <c r="B35" s="358"/>
      <c r="C35" s="358"/>
      <c r="D35" s="358"/>
      <c r="E35" s="358"/>
      <c r="F35" s="358"/>
      <c r="G35" s="358"/>
      <c r="H35" s="358"/>
      <c r="I35" s="358"/>
      <c r="J35" s="358"/>
      <c r="K35" s="358"/>
      <c r="L35" s="358"/>
      <c r="M35" s="358"/>
      <c r="N35" s="358"/>
      <c r="O35" s="358"/>
      <c r="P35" s="358"/>
      <c r="Q35" s="358"/>
      <c r="R35" s="358"/>
      <c r="S35" s="358"/>
      <c r="T35" s="358"/>
      <c r="U35" s="359"/>
      <c r="Y35" s="271"/>
      <c r="Z35" s="272"/>
      <c r="AL35" s="263">
        <v>0</v>
      </c>
    </row>
    <row r="36" spans="1:50" ht="17.25" customHeight="1" x14ac:dyDescent="0.3">
      <c r="A36" s="358"/>
      <c r="B36" s="358"/>
      <c r="C36" s="358"/>
      <c r="D36" s="358"/>
      <c r="E36" s="358"/>
      <c r="F36" s="358"/>
      <c r="G36" s="358"/>
      <c r="H36" s="358"/>
      <c r="I36" s="358"/>
      <c r="J36" s="358"/>
      <c r="K36" s="358"/>
      <c r="L36" s="358"/>
      <c r="M36" s="358"/>
      <c r="N36" s="358"/>
      <c r="O36" s="358"/>
      <c r="P36" s="358"/>
      <c r="Q36" s="358"/>
      <c r="R36" s="358"/>
      <c r="S36" s="358"/>
      <c r="T36" s="358"/>
      <c r="U36" s="359"/>
      <c r="W36" s="283" t="s">
        <v>932</v>
      </c>
      <c r="X36" s="265"/>
      <c r="Y36" s="266" t="str">
        <f>D3</f>
        <v/>
      </c>
      <c r="Z36" s="258" t="s">
        <v>930</v>
      </c>
      <c r="AA36" s="266" t="str">
        <f>H3</f>
        <v/>
      </c>
      <c r="AB36" s="258" t="s">
        <v>930</v>
      </c>
      <c r="AC36" s="266" t="str">
        <f>N3</f>
        <v/>
      </c>
      <c r="AD36" s="258" t="s">
        <v>930</v>
      </c>
      <c r="AE36" s="258"/>
      <c r="AF36" s="266" t="str">
        <f>R3</f>
        <v/>
      </c>
      <c r="AG36" s="258" t="s">
        <v>930</v>
      </c>
      <c r="AR36" t="s">
        <v>943</v>
      </c>
    </row>
    <row r="37" spans="1:50" ht="18.75" x14ac:dyDescent="0.3">
      <c r="A37" s="368" t="s">
        <v>35</v>
      </c>
      <c r="B37" s="368"/>
      <c r="C37" s="368"/>
      <c r="D37" s="353" t="s">
        <v>36</v>
      </c>
      <c r="E37" s="353"/>
      <c r="F37" s="411">
        <f>SUM((SUM(Z24:Z34))+(SUM(AB23:AB34)))</f>
        <v>0</v>
      </c>
      <c r="G37" s="356"/>
      <c r="H37" s="353" t="s">
        <v>36</v>
      </c>
      <c r="I37" s="353"/>
      <c r="J37" s="355">
        <f>SUM(J25:J34)+AD34+SUM(AF24:AF27)</f>
        <v>0</v>
      </c>
      <c r="K37" s="356"/>
      <c r="L37" s="296"/>
      <c r="M37" s="296"/>
      <c r="N37" s="357" t="s">
        <v>36</v>
      </c>
      <c r="O37" s="357"/>
      <c r="P37" s="355">
        <f>SUM(P25:P34)+AH34+SUM(AJ24:AJ27)</f>
        <v>0</v>
      </c>
      <c r="Q37" s="356"/>
      <c r="R37" s="353" t="s">
        <v>36</v>
      </c>
      <c r="S37" s="353"/>
      <c r="T37" s="355">
        <f>SUM(T25:T34)+SUM(AN24:AN27)+AL34</f>
        <v>0</v>
      </c>
      <c r="U37" s="356"/>
      <c r="W37" s="265"/>
      <c r="X37" s="265"/>
      <c r="Y37" s="279" t="s">
        <v>924</v>
      </c>
      <c r="Z37" s="276" t="s">
        <v>935</v>
      </c>
      <c r="AA37" s="284"/>
      <c r="AB37" s="276">
        <v>0</v>
      </c>
      <c r="AC37" s="284"/>
      <c r="AD37" s="276">
        <v>0</v>
      </c>
      <c r="AE37" s="276"/>
      <c r="AF37" s="284"/>
      <c r="AG37" s="276">
        <v>0</v>
      </c>
      <c r="AH37" s="284">
        <v>0</v>
      </c>
      <c r="AI37" s="276">
        <v>0</v>
      </c>
      <c r="AJ37" s="284">
        <v>0</v>
      </c>
      <c r="AK37" s="276">
        <v>0</v>
      </c>
      <c r="AL37" s="284">
        <v>0</v>
      </c>
      <c r="AM37" s="276">
        <v>0</v>
      </c>
      <c r="AN37" s="284" t="s">
        <v>924</v>
      </c>
    </row>
    <row r="38" spans="1:50" ht="18.75" x14ac:dyDescent="0.3">
      <c r="A38" s="360" t="s">
        <v>37</v>
      </c>
      <c r="B38" s="360"/>
      <c r="C38" s="360"/>
      <c r="D38" s="343" t="s">
        <v>38</v>
      </c>
      <c r="E38" s="343"/>
      <c r="F38" s="343" t="s">
        <v>39</v>
      </c>
      <c r="G38" s="343"/>
      <c r="H38" s="343" t="s">
        <v>38</v>
      </c>
      <c r="I38" s="343"/>
      <c r="J38" s="343" t="s">
        <v>39</v>
      </c>
      <c r="K38" s="343"/>
      <c r="L38" s="296"/>
      <c r="M38" s="296"/>
      <c r="N38" s="343" t="s">
        <v>38</v>
      </c>
      <c r="O38" s="343"/>
      <c r="P38" s="343" t="s">
        <v>39</v>
      </c>
      <c r="Q38" s="343"/>
      <c r="R38" s="343" t="s">
        <v>38</v>
      </c>
      <c r="S38" s="343"/>
      <c r="T38" s="343" t="s">
        <v>39</v>
      </c>
      <c r="U38" s="343"/>
      <c r="W38" s="265"/>
      <c r="X38" s="265"/>
      <c r="Y38" s="279" t="s">
        <v>924</v>
      </c>
      <c r="Z38" s="276" t="s">
        <v>935</v>
      </c>
      <c r="AA38" s="284"/>
      <c r="AB38" s="276">
        <v>0</v>
      </c>
      <c r="AC38" s="284"/>
      <c r="AD38" s="276">
        <v>0</v>
      </c>
      <c r="AE38" s="276"/>
      <c r="AF38" s="284"/>
      <c r="AG38" s="276">
        <v>0</v>
      </c>
      <c r="AH38" s="284">
        <v>0</v>
      </c>
      <c r="AI38" s="276">
        <v>0</v>
      </c>
      <c r="AJ38" s="284">
        <v>0</v>
      </c>
      <c r="AK38" s="276">
        <v>0</v>
      </c>
      <c r="AL38" s="284">
        <v>0</v>
      </c>
      <c r="AM38" s="276">
        <v>0</v>
      </c>
      <c r="AN38" s="284" t="s">
        <v>924</v>
      </c>
    </row>
    <row r="39" spans="1:50" ht="18.75" x14ac:dyDescent="0.3">
      <c r="A39" s="296"/>
      <c r="B39" s="296"/>
      <c r="C39" s="303"/>
      <c r="D39" s="306"/>
      <c r="E39" s="306"/>
      <c r="F39" s="306"/>
      <c r="G39" s="306"/>
      <c r="H39" s="306"/>
      <c r="I39" s="306"/>
      <c r="J39" s="306"/>
      <c r="K39" s="306"/>
      <c r="L39" s="296"/>
      <c r="M39" s="296"/>
      <c r="N39" s="306"/>
      <c r="O39" s="306"/>
      <c r="P39" s="306"/>
      <c r="Q39" s="306"/>
      <c r="R39" s="306"/>
      <c r="S39" s="306"/>
      <c r="T39" s="306"/>
      <c r="U39" s="306"/>
      <c r="W39" s="265"/>
      <c r="X39" s="265"/>
      <c r="Y39" s="279" t="s">
        <v>924</v>
      </c>
      <c r="Z39" s="276" t="s">
        <v>935</v>
      </c>
      <c r="AA39" s="284"/>
      <c r="AB39" s="276">
        <v>0</v>
      </c>
      <c r="AC39" s="284"/>
      <c r="AD39" s="276">
        <v>0</v>
      </c>
      <c r="AE39" s="276"/>
      <c r="AF39" s="284"/>
      <c r="AG39" s="276">
        <v>0</v>
      </c>
      <c r="AH39" s="284">
        <v>0</v>
      </c>
      <c r="AI39" s="276">
        <v>0</v>
      </c>
      <c r="AJ39" s="284">
        <v>0</v>
      </c>
      <c r="AK39" s="276">
        <v>0</v>
      </c>
      <c r="AL39" s="284">
        <v>0</v>
      </c>
      <c r="AM39" s="276">
        <v>0</v>
      </c>
      <c r="AN39" s="284" t="s">
        <v>924</v>
      </c>
      <c r="AR39" t="s">
        <v>66</v>
      </c>
      <c r="AS39" t="s">
        <v>944</v>
      </c>
      <c r="AT39" t="s">
        <v>945</v>
      </c>
      <c r="AU39" t="s">
        <v>75</v>
      </c>
      <c r="AV39" t="s">
        <v>946</v>
      </c>
      <c r="AW39" t="s">
        <v>947</v>
      </c>
      <c r="AX39" t="s">
        <v>948</v>
      </c>
    </row>
    <row r="40" spans="1:50" ht="39.75" customHeight="1" x14ac:dyDescent="0.3">
      <c r="A40" s="296"/>
      <c r="B40" s="296"/>
      <c r="C40" s="303"/>
      <c r="D40" s="306"/>
      <c r="E40" s="306"/>
      <c r="F40" s="306"/>
      <c r="G40" s="306"/>
      <c r="H40" s="306"/>
      <c r="I40" s="306"/>
      <c r="J40" s="306"/>
      <c r="K40" s="306"/>
      <c r="L40" s="296"/>
      <c r="M40" s="296"/>
      <c r="N40" s="306"/>
      <c r="O40" s="306"/>
      <c r="P40" s="306"/>
      <c r="Q40" s="306"/>
      <c r="R40" s="306"/>
      <c r="S40" s="306"/>
      <c r="T40" s="306"/>
      <c r="U40" s="306"/>
      <c r="W40" s="265"/>
      <c r="X40" s="265"/>
      <c r="Y40" s="279" t="s">
        <v>924</v>
      </c>
      <c r="Z40" s="276" t="s">
        <v>935</v>
      </c>
      <c r="AA40" s="284"/>
      <c r="AB40" s="276">
        <v>0</v>
      </c>
      <c r="AC40" s="284"/>
      <c r="AD40" s="276">
        <v>0</v>
      </c>
      <c r="AE40" s="276"/>
      <c r="AF40" s="284"/>
      <c r="AG40" s="276">
        <v>0</v>
      </c>
      <c r="AH40" s="284">
        <v>0</v>
      </c>
      <c r="AI40" s="276">
        <v>0</v>
      </c>
      <c r="AJ40" s="284">
        <v>0</v>
      </c>
      <c r="AK40" s="276">
        <v>0</v>
      </c>
      <c r="AL40" s="284">
        <v>0</v>
      </c>
      <c r="AM40" s="276">
        <v>0</v>
      </c>
      <c r="AN40" s="284" t="s">
        <v>924</v>
      </c>
    </row>
    <row r="41" spans="1:50" ht="18.75" customHeight="1" x14ac:dyDescent="0.3">
      <c r="A41" s="296"/>
      <c r="B41" s="296"/>
      <c r="C41" s="303"/>
      <c r="D41" s="305" t="b">
        <f>IF(D40="weekly","4.33",IF(D40="every oth wk","2.16",IF(D40="twice mo","2",IF(D40="monthly","1"))))</f>
        <v>0</v>
      </c>
      <c r="E41" s="305"/>
      <c r="F41" s="305"/>
      <c r="G41" s="305"/>
      <c r="H41" s="305" t="b">
        <f>IF(H40="weekly","4.33",IF(H40="every oth wk","2.16",IF(H40="twice mo","2",IF(H40="monthly","1"))))</f>
        <v>0</v>
      </c>
      <c r="I41" s="305"/>
      <c r="J41" s="305"/>
      <c r="K41" s="305"/>
      <c r="L41" s="296"/>
      <c r="M41" s="296"/>
      <c r="N41" s="304" t="b">
        <f>IF(N40="weekly","4.33",IF(N40="every oth wk","2.16",IF(N40="twice mo","2",IF(N40="monthly","1"))))</f>
        <v>0</v>
      </c>
      <c r="O41" s="304"/>
      <c r="P41" s="304"/>
      <c r="Q41" s="304"/>
      <c r="R41" s="304" t="b">
        <f>IF(R40="weekly","4.33",IF(R40="every oth wk","2.16",IF(R40="twice mo","2",IF(R40="monthly","1"))))</f>
        <v>0</v>
      </c>
      <c r="S41" s="304"/>
      <c r="T41" s="304"/>
      <c r="U41" s="304"/>
      <c r="W41" s="265"/>
      <c r="X41" s="265"/>
      <c r="Y41" s="279" t="s">
        <v>924</v>
      </c>
      <c r="Z41" s="276" t="s">
        <v>935</v>
      </c>
      <c r="AA41" s="284"/>
      <c r="AB41" s="276">
        <v>0</v>
      </c>
      <c r="AC41" s="284"/>
      <c r="AD41" s="276">
        <v>0</v>
      </c>
      <c r="AE41" s="276"/>
      <c r="AF41" s="284"/>
      <c r="AG41" s="276">
        <v>0</v>
      </c>
      <c r="AH41" s="284">
        <v>0</v>
      </c>
      <c r="AI41" s="276">
        <v>0</v>
      </c>
      <c r="AJ41" s="284">
        <v>0</v>
      </c>
      <c r="AK41" s="276">
        <v>0</v>
      </c>
      <c r="AL41" s="284">
        <v>0</v>
      </c>
      <c r="AM41" s="276">
        <v>0</v>
      </c>
      <c r="AN41" s="284" t="s">
        <v>924</v>
      </c>
    </row>
    <row r="42" spans="1:50" ht="15" customHeight="1" x14ac:dyDescent="0.3">
      <c r="A42" s="296" t="s">
        <v>40</v>
      </c>
      <c r="B42" s="296"/>
      <c r="C42" s="296"/>
      <c r="D42" s="301"/>
      <c r="E42" s="301"/>
      <c r="F42" s="301"/>
      <c r="G42" s="301"/>
      <c r="H42" s="301"/>
      <c r="I42" s="301"/>
      <c r="J42" s="301"/>
      <c r="K42" s="301"/>
      <c r="L42" s="296"/>
      <c r="M42" s="296"/>
      <c r="N42" s="301"/>
      <c r="O42" s="301"/>
      <c r="P42" s="301"/>
      <c r="Q42" s="301"/>
      <c r="R42" s="301"/>
      <c r="S42" s="301"/>
      <c r="T42" s="301"/>
      <c r="U42" s="301"/>
      <c r="W42" s="265"/>
      <c r="X42" s="265"/>
      <c r="Y42" s="279" t="s">
        <v>924</v>
      </c>
      <c r="Z42" s="276">
        <v>0</v>
      </c>
      <c r="AA42" s="284"/>
      <c r="AB42" s="276">
        <v>0</v>
      </c>
      <c r="AC42" s="284"/>
      <c r="AD42" s="276">
        <v>0</v>
      </c>
      <c r="AE42" s="276"/>
      <c r="AF42" s="284"/>
      <c r="AG42" s="276">
        <v>0</v>
      </c>
      <c r="AH42" s="284">
        <v>0</v>
      </c>
      <c r="AI42" s="276">
        <v>0</v>
      </c>
      <c r="AJ42" s="284">
        <v>0</v>
      </c>
      <c r="AK42" s="276">
        <v>0</v>
      </c>
      <c r="AL42" s="284">
        <v>0</v>
      </c>
      <c r="AM42" s="276">
        <v>0</v>
      </c>
      <c r="AN42" s="284" t="s">
        <v>924</v>
      </c>
    </row>
    <row r="43" spans="1:50" ht="30.75" customHeight="1" thickBot="1" x14ac:dyDescent="0.35">
      <c r="A43" s="296"/>
      <c r="B43" s="296"/>
      <c r="C43" s="296"/>
      <c r="D43" s="340"/>
      <c r="E43" s="340"/>
      <c r="F43" s="340"/>
      <c r="G43" s="340"/>
      <c r="H43" s="301"/>
      <c r="I43" s="301"/>
      <c r="J43" s="340"/>
      <c r="K43" s="340"/>
      <c r="L43" s="296"/>
      <c r="M43" s="296"/>
      <c r="N43" s="301"/>
      <c r="O43" s="301"/>
      <c r="P43" s="340"/>
      <c r="Q43" s="340"/>
      <c r="R43" s="301"/>
      <c r="S43" s="301"/>
      <c r="T43" s="340"/>
      <c r="U43" s="340"/>
      <c r="W43" s="265"/>
      <c r="X43" s="265"/>
      <c r="Y43" s="279" t="s">
        <v>924</v>
      </c>
      <c r="Z43" s="276">
        <v>0</v>
      </c>
      <c r="AA43" s="284" t="s">
        <v>924</v>
      </c>
      <c r="AB43" s="276">
        <v>0</v>
      </c>
      <c r="AC43" s="284" t="s">
        <v>924</v>
      </c>
      <c r="AD43" s="276">
        <v>0</v>
      </c>
      <c r="AE43" s="276"/>
      <c r="AF43" s="284"/>
      <c r="AG43" s="276">
        <v>0</v>
      </c>
      <c r="AH43" s="284">
        <v>0</v>
      </c>
      <c r="AI43" s="276">
        <v>0</v>
      </c>
      <c r="AJ43" s="284">
        <v>0</v>
      </c>
      <c r="AK43" s="276">
        <v>0</v>
      </c>
      <c r="AL43" s="284">
        <v>0</v>
      </c>
      <c r="AM43" s="276">
        <v>0</v>
      </c>
      <c r="AN43" s="284" t="s">
        <v>924</v>
      </c>
    </row>
    <row r="44" spans="1:50" ht="29.25" customHeight="1" thickBot="1" x14ac:dyDescent="0.35">
      <c r="A44" s="338" t="s">
        <v>41</v>
      </c>
      <c r="B44" s="338"/>
      <c r="C44" s="338"/>
      <c r="D44" s="297"/>
      <c r="E44" s="298"/>
      <c r="F44" s="298"/>
      <c r="G44" s="298"/>
      <c r="H44" s="297"/>
      <c r="I44" s="298"/>
      <c r="J44" s="298"/>
      <c r="K44" s="298"/>
      <c r="L44" s="296"/>
      <c r="M44" s="296"/>
      <c r="N44" s="297"/>
      <c r="O44" s="298"/>
      <c r="P44" s="298"/>
      <c r="Q44" s="298"/>
      <c r="R44" s="297"/>
      <c r="S44" s="297"/>
      <c r="T44" s="297"/>
      <c r="U44" s="297"/>
      <c r="W44" s="265"/>
      <c r="X44" s="265"/>
      <c r="Y44" s="279" t="s">
        <v>924</v>
      </c>
      <c r="Z44" s="276">
        <v>0</v>
      </c>
      <c r="AA44" s="284" t="s">
        <v>924</v>
      </c>
      <c r="AB44" s="276">
        <v>0</v>
      </c>
      <c r="AC44" s="284" t="s">
        <v>924</v>
      </c>
      <c r="AD44" s="276">
        <v>0</v>
      </c>
      <c r="AE44" s="276"/>
      <c r="AF44" s="284"/>
      <c r="AG44" s="276">
        <v>0</v>
      </c>
      <c r="AH44" s="284">
        <v>0</v>
      </c>
      <c r="AI44" s="276">
        <v>0</v>
      </c>
      <c r="AJ44" s="284">
        <v>0</v>
      </c>
      <c r="AK44" s="276">
        <v>0</v>
      </c>
      <c r="AL44" s="284">
        <v>0</v>
      </c>
      <c r="AM44" s="276">
        <v>0</v>
      </c>
      <c r="AN44" s="284" t="s">
        <v>924</v>
      </c>
    </row>
    <row r="45" spans="1:50" ht="4.1500000000000004" customHeight="1" x14ac:dyDescent="0.3">
      <c r="A45" s="344"/>
      <c r="B45" s="344"/>
      <c r="C45" s="344"/>
      <c r="D45" s="344"/>
      <c r="E45" s="344"/>
      <c r="F45" s="344"/>
      <c r="G45" s="344"/>
      <c r="H45" s="344"/>
      <c r="I45" s="344"/>
      <c r="J45" s="344"/>
      <c r="K45" s="344"/>
      <c r="L45" s="344"/>
      <c r="M45" s="344"/>
      <c r="N45" s="344"/>
      <c r="O45" s="344"/>
      <c r="P45" s="344"/>
      <c r="Q45" s="344"/>
      <c r="R45" s="344"/>
      <c r="S45" s="344"/>
      <c r="T45" s="344"/>
      <c r="U45" s="344"/>
      <c r="W45" s="265"/>
      <c r="X45" s="265"/>
      <c r="Y45" s="279" t="s">
        <v>924</v>
      </c>
      <c r="Z45" s="276">
        <v>0</v>
      </c>
      <c r="AA45" s="284" t="s">
        <v>924</v>
      </c>
      <c r="AB45" s="276">
        <v>0</v>
      </c>
      <c r="AC45" s="284" t="s">
        <v>924</v>
      </c>
      <c r="AD45" s="276">
        <v>0</v>
      </c>
      <c r="AE45" s="276"/>
      <c r="AF45" s="284"/>
      <c r="AG45" s="276">
        <v>0</v>
      </c>
      <c r="AH45" s="284">
        <v>0</v>
      </c>
      <c r="AI45" s="276">
        <v>0</v>
      </c>
      <c r="AJ45" s="284">
        <v>0</v>
      </c>
      <c r="AK45" s="276">
        <v>0</v>
      </c>
      <c r="AL45" s="284">
        <v>0</v>
      </c>
      <c r="AM45" s="276">
        <v>0</v>
      </c>
      <c r="AN45" s="284" t="s">
        <v>924</v>
      </c>
    </row>
    <row r="46" spans="1:50" ht="23.25" customHeight="1" x14ac:dyDescent="0.3">
      <c r="A46" s="345" t="s">
        <v>42</v>
      </c>
      <c r="B46" s="345"/>
      <c r="C46" s="345"/>
      <c r="D46" s="337" t="e">
        <f>AT27</f>
        <v>#DIV/0!</v>
      </c>
      <c r="E46" s="337"/>
      <c r="F46" s="337"/>
      <c r="G46" s="337"/>
      <c r="H46" s="337" t="e">
        <f>AT28</f>
        <v>#DIV/0!</v>
      </c>
      <c r="I46" s="337"/>
      <c r="J46" s="337"/>
      <c r="K46" s="337"/>
      <c r="L46" s="19"/>
      <c r="M46" s="19"/>
      <c r="N46" s="337" t="e">
        <f>AT29</f>
        <v>#DIV/0!</v>
      </c>
      <c r="O46" s="337"/>
      <c r="P46" s="337"/>
      <c r="Q46" s="337"/>
      <c r="R46" s="337" t="e">
        <f>AT30</f>
        <v>#DIV/0!</v>
      </c>
      <c r="S46" s="337"/>
      <c r="T46" s="337"/>
      <c r="U46" s="337"/>
      <c r="W46" s="265"/>
      <c r="X46" s="265"/>
      <c r="Y46" s="279" t="s">
        <v>924</v>
      </c>
      <c r="Z46" s="276">
        <v>0</v>
      </c>
      <c r="AA46" s="284" t="s">
        <v>924</v>
      </c>
      <c r="AB46" s="276">
        <v>0</v>
      </c>
      <c r="AC46" s="284" t="s">
        <v>924</v>
      </c>
      <c r="AD46" s="276">
        <v>0</v>
      </c>
      <c r="AE46" s="276"/>
      <c r="AF46" s="284"/>
      <c r="AG46" s="276">
        <v>0</v>
      </c>
      <c r="AH46" s="284">
        <v>0</v>
      </c>
      <c r="AI46" s="276">
        <v>0</v>
      </c>
      <c r="AJ46" s="284">
        <v>0</v>
      </c>
      <c r="AK46" s="276">
        <v>0</v>
      </c>
      <c r="AL46" s="284">
        <v>0</v>
      </c>
      <c r="AM46" s="276">
        <v>0</v>
      </c>
      <c r="AN46" s="284" t="s">
        <v>924</v>
      </c>
    </row>
    <row r="47" spans="1:50" ht="5.25" customHeight="1" x14ac:dyDescent="0.3">
      <c r="A47" s="341"/>
      <c r="B47" s="341"/>
      <c r="C47" s="341"/>
      <c r="D47" s="341"/>
      <c r="E47" s="341"/>
      <c r="F47" s="341"/>
      <c r="G47" s="341"/>
      <c r="H47" s="341"/>
      <c r="I47" s="341"/>
      <c r="J47" s="341"/>
      <c r="K47" s="341"/>
      <c r="L47" s="341"/>
      <c r="M47" s="341"/>
      <c r="N47" s="341"/>
      <c r="O47" s="341"/>
      <c r="P47" s="341"/>
      <c r="Q47" s="341"/>
      <c r="R47" s="341"/>
      <c r="S47" s="341"/>
      <c r="T47" s="341"/>
      <c r="U47" s="341"/>
      <c r="W47" s="265"/>
      <c r="X47" s="265"/>
      <c r="Y47" s="281" t="s">
        <v>924</v>
      </c>
      <c r="Z47" s="273">
        <v>0</v>
      </c>
      <c r="AA47" s="280" t="s">
        <v>924</v>
      </c>
      <c r="AB47" s="273">
        <v>0</v>
      </c>
      <c r="AC47" s="280" t="s">
        <v>924</v>
      </c>
      <c r="AD47" s="273">
        <v>0</v>
      </c>
      <c r="AE47" s="273"/>
      <c r="AF47" s="280">
        <v>0</v>
      </c>
      <c r="AG47" s="273">
        <v>0</v>
      </c>
      <c r="AH47" s="280">
        <v>0</v>
      </c>
      <c r="AI47" s="273">
        <v>0</v>
      </c>
      <c r="AJ47" s="280">
        <v>0</v>
      </c>
      <c r="AK47" s="273">
        <v>0</v>
      </c>
      <c r="AL47" s="280">
        <v>0</v>
      </c>
      <c r="AM47" s="273">
        <v>0</v>
      </c>
      <c r="AN47" s="280" t="s">
        <v>924</v>
      </c>
    </row>
    <row r="48" spans="1:50" ht="12.75" customHeight="1" x14ac:dyDescent="0.3">
      <c r="A48" s="336" t="s">
        <v>43</v>
      </c>
      <c r="B48" s="336"/>
      <c r="C48" s="336"/>
      <c r="D48" s="336"/>
      <c r="E48" s="336"/>
      <c r="F48" s="336"/>
      <c r="G48" s="336"/>
      <c r="H48" s="336"/>
      <c r="I48" s="336"/>
      <c r="J48" s="336"/>
      <c r="K48" s="336"/>
      <c r="L48" s="336"/>
      <c r="M48" s="336"/>
      <c r="N48" s="336"/>
      <c r="O48" s="336"/>
      <c r="P48" s="336"/>
      <c r="Q48" s="336"/>
      <c r="R48" s="336"/>
      <c r="S48" s="336"/>
      <c r="T48" s="336"/>
      <c r="U48" s="336"/>
      <c r="W48" s="265"/>
      <c r="X48" s="265"/>
      <c r="Y48" s="281" t="s">
        <v>924</v>
      </c>
      <c r="Z48" s="273">
        <v>0</v>
      </c>
      <c r="AA48" s="280" t="s">
        <v>924</v>
      </c>
      <c r="AB48" s="273">
        <v>0</v>
      </c>
      <c r="AC48" s="280" t="s">
        <v>924</v>
      </c>
      <c r="AD48" s="273">
        <v>0</v>
      </c>
      <c r="AE48" s="273"/>
      <c r="AF48" s="280">
        <v>0</v>
      </c>
      <c r="AG48" s="273">
        <v>0</v>
      </c>
      <c r="AH48" s="280">
        <v>0</v>
      </c>
      <c r="AI48" s="273">
        <v>0</v>
      </c>
      <c r="AJ48" s="280">
        <v>0</v>
      </c>
      <c r="AK48" s="273">
        <v>0</v>
      </c>
      <c r="AL48" s="280">
        <v>0</v>
      </c>
      <c r="AM48" s="273">
        <v>0</v>
      </c>
      <c r="AN48" s="280" t="s">
        <v>924</v>
      </c>
    </row>
    <row r="49" spans="1:40" ht="12.75" customHeight="1" x14ac:dyDescent="0.3">
      <c r="A49" s="327" t="s">
        <v>44</v>
      </c>
      <c r="B49" s="339"/>
      <c r="C49" s="339"/>
      <c r="D49" s="339"/>
      <c r="E49" s="339"/>
      <c r="F49" s="339"/>
      <c r="G49" s="339"/>
      <c r="H49" s="339"/>
      <c r="I49" s="339"/>
      <c r="J49" s="339"/>
      <c r="K49" s="339"/>
      <c r="L49" s="339"/>
      <c r="M49" s="339"/>
      <c r="N49" s="339"/>
      <c r="O49" s="339"/>
      <c r="P49" s="339"/>
      <c r="Q49" s="339"/>
      <c r="R49" s="339"/>
      <c r="S49" s="339"/>
      <c r="T49" s="339"/>
      <c r="U49" s="339"/>
      <c r="W49" s="265"/>
      <c r="X49" s="265"/>
      <c r="Y49" s="281" t="s">
        <v>924</v>
      </c>
      <c r="Z49" s="273">
        <v>0</v>
      </c>
      <c r="AA49" s="280" t="s">
        <v>924</v>
      </c>
      <c r="AB49" s="273">
        <v>0</v>
      </c>
      <c r="AC49" s="280" t="s">
        <v>924</v>
      </c>
      <c r="AD49" s="273">
        <v>0</v>
      </c>
      <c r="AE49" s="273"/>
      <c r="AF49" s="280">
        <v>0</v>
      </c>
      <c r="AG49" s="273">
        <v>0</v>
      </c>
      <c r="AH49" s="280">
        <v>0</v>
      </c>
      <c r="AI49" s="273">
        <v>0</v>
      </c>
      <c r="AJ49" s="280">
        <v>0</v>
      </c>
      <c r="AK49" s="273">
        <v>0</v>
      </c>
      <c r="AL49" s="280">
        <v>0</v>
      </c>
      <c r="AM49" s="273">
        <v>0</v>
      </c>
      <c r="AN49" s="280" t="s">
        <v>924</v>
      </c>
    </row>
    <row r="50" spans="1:40" ht="13.5" customHeight="1" x14ac:dyDescent="0.3">
      <c r="A50" s="307" t="s">
        <v>45</v>
      </c>
      <c r="B50" s="307"/>
      <c r="C50" s="307" t="s">
        <v>46</v>
      </c>
      <c r="D50" s="307"/>
      <c r="E50" s="308" t="s">
        <v>47</v>
      </c>
      <c r="F50" s="309"/>
      <c r="G50" s="309"/>
      <c r="H50" s="309"/>
      <c r="I50" s="309"/>
      <c r="J50" s="309"/>
      <c r="K50" s="309"/>
      <c r="L50" s="309"/>
      <c r="M50" s="309"/>
      <c r="N50" s="309"/>
      <c r="O50" s="309"/>
      <c r="P50" s="309"/>
      <c r="Q50" s="309"/>
      <c r="R50" s="309"/>
      <c r="S50" s="309"/>
      <c r="T50" s="309"/>
      <c r="U50" s="310"/>
      <c r="W50" s="265"/>
      <c r="X50" s="265"/>
      <c r="Y50" s="281" t="s">
        <v>924</v>
      </c>
      <c r="Z50" s="273">
        <v>0</v>
      </c>
      <c r="AA50" s="280" t="s">
        <v>924</v>
      </c>
      <c r="AB50" s="273">
        <v>0</v>
      </c>
      <c r="AC50" s="280" t="s">
        <v>924</v>
      </c>
      <c r="AD50" s="273">
        <v>0</v>
      </c>
      <c r="AE50" s="273"/>
      <c r="AF50" s="280">
        <v>0</v>
      </c>
      <c r="AG50" s="273">
        <v>0</v>
      </c>
      <c r="AH50" s="280">
        <v>0</v>
      </c>
      <c r="AI50" s="273">
        <v>0</v>
      </c>
      <c r="AJ50" s="280">
        <v>0</v>
      </c>
      <c r="AK50" s="273">
        <v>0</v>
      </c>
      <c r="AL50" s="280">
        <v>0</v>
      </c>
      <c r="AM50" s="273">
        <v>0</v>
      </c>
      <c r="AN50" s="280" t="s">
        <v>924</v>
      </c>
    </row>
    <row r="51" spans="1:40" ht="15.75" customHeight="1" x14ac:dyDescent="0.3">
      <c r="A51" s="307" t="s">
        <v>45</v>
      </c>
      <c r="B51" s="307"/>
      <c r="C51" s="307" t="s">
        <v>46</v>
      </c>
      <c r="D51" s="307"/>
      <c r="E51" s="308" t="s">
        <v>48</v>
      </c>
      <c r="F51" s="309"/>
      <c r="G51" s="309"/>
      <c r="H51" s="309"/>
      <c r="I51" s="309"/>
      <c r="J51" s="309"/>
      <c r="K51" s="309"/>
      <c r="L51" s="309"/>
      <c r="M51" s="309"/>
      <c r="N51" s="309"/>
      <c r="O51" s="309"/>
      <c r="P51" s="309"/>
      <c r="Q51" s="309"/>
      <c r="R51" s="309"/>
      <c r="S51" s="309"/>
      <c r="T51" s="309"/>
      <c r="U51" s="310"/>
      <c r="W51" s="265"/>
      <c r="X51" s="265"/>
      <c r="Y51" s="281" t="s">
        <v>924</v>
      </c>
      <c r="Z51" s="273">
        <v>0</v>
      </c>
      <c r="AA51" s="280" t="s">
        <v>924</v>
      </c>
      <c r="AB51" s="273">
        <v>0</v>
      </c>
      <c r="AC51" s="280" t="s">
        <v>924</v>
      </c>
      <c r="AD51" s="273">
        <v>0</v>
      </c>
      <c r="AE51" s="273"/>
      <c r="AF51" s="280">
        <v>0</v>
      </c>
      <c r="AG51" s="273">
        <v>0</v>
      </c>
      <c r="AH51" s="280">
        <v>0</v>
      </c>
      <c r="AI51" s="273">
        <v>0</v>
      </c>
      <c r="AJ51" s="280">
        <v>0</v>
      </c>
      <c r="AK51" s="273">
        <v>0</v>
      </c>
      <c r="AL51" s="280">
        <v>0</v>
      </c>
      <c r="AM51" s="273">
        <v>0</v>
      </c>
      <c r="AN51" s="280" t="s">
        <v>924</v>
      </c>
    </row>
    <row r="52" spans="1:40" ht="6" customHeight="1" x14ac:dyDescent="0.2">
      <c r="A52" s="350"/>
      <c r="B52" s="350"/>
      <c r="C52" s="350"/>
      <c r="D52" s="350"/>
      <c r="E52" s="350"/>
      <c r="F52" s="350"/>
      <c r="G52" s="350"/>
      <c r="H52" s="350"/>
      <c r="I52" s="350"/>
      <c r="J52" s="350"/>
      <c r="K52" s="350"/>
      <c r="L52" s="350"/>
      <c r="M52" s="350"/>
      <c r="N52" s="350"/>
      <c r="O52" s="350"/>
      <c r="P52" s="350"/>
      <c r="Q52" s="350"/>
      <c r="R52" s="350"/>
      <c r="S52" s="350"/>
      <c r="T52" s="350"/>
      <c r="U52" s="350"/>
    </row>
    <row r="53" spans="1:40" x14ac:dyDescent="0.2">
      <c r="A53" s="336" t="s">
        <v>49</v>
      </c>
      <c r="B53" s="336"/>
      <c r="C53" s="336"/>
      <c r="D53" s="336"/>
      <c r="E53" s="336"/>
      <c r="F53" s="336"/>
      <c r="G53" s="336"/>
      <c r="H53" s="336"/>
      <c r="I53" s="336"/>
      <c r="J53" s="336"/>
      <c r="K53" s="336"/>
      <c r="L53" s="336"/>
      <c r="M53" s="336"/>
      <c r="N53" s="336"/>
      <c r="O53" s="336"/>
      <c r="P53" s="336"/>
      <c r="Q53" s="336"/>
      <c r="R53" s="336"/>
      <c r="S53" s="336"/>
      <c r="T53" s="336"/>
      <c r="U53" s="336"/>
    </row>
    <row r="54" spans="1:40" ht="18" customHeight="1" x14ac:dyDescent="0.3">
      <c r="A54" s="462" t="s">
        <v>50</v>
      </c>
      <c r="B54" s="463"/>
      <c r="C54" s="463"/>
      <c r="D54" s="464"/>
      <c r="E54" s="334"/>
      <c r="F54" s="335"/>
      <c r="G54" s="347" t="s">
        <v>51</v>
      </c>
      <c r="H54" s="348"/>
      <c r="I54" s="348"/>
      <c r="J54" s="348"/>
      <c r="K54" s="334"/>
      <c r="L54" s="335"/>
      <c r="M54" s="349"/>
      <c r="N54" s="349"/>
      <c r="O54" s="229"/>
      <c r="P54" s="296"/>
      <c r="Q54" s="296"/>
      <c r="R54" s="296"/>
      <c r="S54" s="296"/>
      <c r="T54" s="296"/>
      <c r="U54" s="296"/>
    </row>
    <row r="55" spans="1:40" ht="2.25" customHeight="1" x14ac:dyDescent="0.2">
      <c r="A55" s="36"/>
      <c r="B55" s="230"/>
      <c r="C55" s="300" t="str">
        <f>IF(F20="yes",".01","0")</f>
        <v>0</v>
      </c>
      <c r="D55" s="300"/>
      <c r="E55" s="230"/>
      <c r="F55" s="230"/>
      <c r="G55" s="230"/>
      <c r="H55" s="230"/>
      <c r="I55" s="230"/>
      <c r="J55" s="230"/>
      <c r="K55" s="230"/>
      <c r="L55" s="230"/>
      <c r="M55" s="230"/>
      <c r="N55" s="20"/>
      <c r="O55" s="20"/>
      <c r="P55" s="20"/>
      <c r="Q55" s="20"/>
      <c r="R55" s="296"/>
      <c r="S55" s="296"/>
      <c r="T55" s="296"/>
      <c r="U55" s="296"/>
    </row>
    <row r="56" spans="1:40" ht="4.5" customHeight="1" x14ac:dyDescent="0.2">
      <c r="A56" s="299"/>
      <c r="B56" s="299"/>
      <c r="C56" s="299"/>
      <c r="D56" s="299"/>
      <c r="E56" s="299"/>
      <c r="F56" s="299"/>
      <c r="G56" s="299"/>
      <c r="H56" s="299"/>
      <c r="I56" s="299"/>
      <c r="J56" s="299"/>
      <c r="K56" s="299"/>
      <c r="L56" s="299"/>
      <c r="M56" s="299"/>
      <c r="N56" s="299"/>
      <c r="O56" s="299"/>
      <c r="P56" s="299"/>
      <c r="Q56" s="299"/>
      <c r="R56" s="299"/>
      <c r="S56" s="299"/>
      <c r="T56" s="299"/>
      <c r="U56" s="299"/>
    </row>
    <row r="57" spans="1:40" ht="13.5" customHeight="1" x14ac:dyDescent="0.2">
      <c r="A57" s="302" t="str">
        <f>D3</f>
        <v/>
      </c>
      <c r="B57" s="302"/>
      <c r="C57" s="302"/>
      <c r="D57" s="302"/>
      <c r="E57" s="302"/>
      <c r="F57" s="302"/>
      <c r="G57" s="342">
        <f>D21</f>
        <v>0</v>
      </c>
      <c r="H57" s="342"/>
      <c r="I57" s="36"/>
      <c r="J57" s="36"/>
      <c r="K57" s="290" t="s">
        <v>52</v>
      </c>
      <c r="L57" s="290"/>
      <c r="M57" s="290"/>
      <c r="N57" s="290"/>
      <c r="O57" s="290"/>
      <c r="P57" s="290"/>
      <c r="Q57" s="290"/>
      <c r="R57" s="346"/>
      <c r="S57" s="346"/>
      <c r="T57" s="346"/>
      <c r="U57" s="346"/>
    </row>
    <row r="58" spans="1:40" ht="14.1" customHeight="1" x14ac:dyDescent="0.2">
      <c r="A58" s="302" t="str">
        <f>H3</f>
        <v/>
      </c>
      <c r="B58" s="302"/>
      <c r="C58" s="302"/>
      <c r="D58" s="302"/>
      <c r="E58" s="302"/>
      <c r="F58" s="302"/>
      <c r="G58" s="342">
        <f>H21</f>
        <v>0</v>
      </c>
      <c r="H58" s="317"/>
      <c r="I58" s="36"/>
      <c r="J58" s="36"/>
      <c r="K58" s="290" t="s">
        <v>53</v>
      </c>
      <c r="L58" s="290"/>
      <c r="M58" s="290"/>
      <c r="N58" s="290"/>
      <c r="O58" s="290"/>
      <c r="P58" s="290"/>
      <c r="Q58" s="290"/>
      <c r="R58" s="325"/>
      <c r="S58" s="325"/>
      <c r="T58" s="325"/>
      <c r="U58" s="325"/>
    </row>
    <row r="59" spans="1:40" ht="14.1" customHeight="1" x14ac:dyDescent="0.2">
      <c r="A59" s="317"/>
      <c r="B59" s="317"/>
      <c r="C59" s="317"/>
      <c r="D59" s="317"/>
      <c r="E59" s="317"/>
      <c r="F59" s="317"/>
      <c r="G59" s="317"/>
      <c r="H59" s="317"/>
      <c r="I59" s="36"/>
      <c r="J59" s="36"/>
      <c r="K59" s="290" t="s">
        <v>54</v>
      </c>
      <c r="L59" s="290"/>
      <c r="M59" s="290"/>
      <c r="N59" s="290"/>
      <c r="O59" s="290"/>
      <c r="P59" s="290"/>
      <c r="Q59" s="290"/>
      <c r="R59" s="288"/>
      <c r="S59" s="288"/>
      <c r="T59" s="288"/>
      <c r="U59" s="288"/>
    </row>
    <row r="60" spans="1:40" ht="14.1" customHeight="1" x14ac:dyDescent="0.2">
      <c r="A60" s="313" t="s">
        <v>55</v>
      </c>
      <c r="B60" s="313"/>
      <c r="C60" s="313"/>
      <c r="D60" s="313"/>
      <c r="E60" s="313"/>
      <c r="F60" s="313"/>
      <c r="G60" s="296"/>
      <c r="H60" s="296"/>
      <c r="I60" s="36"/>
      <c r="J60" s="36"/>
      <c r="K60" s="290" t="s">
        <v>56</v>
      </c>
      <c r="L60" s="290"/>
      <c r="M60" s="290"/>
      <c r="N60" s="290"/>
      <c r="O60" s="290"/>
      <c r="P60" s="290"/>
      <c r="Q60" s="290"/>
      <c r="R60" s="330"/>
      <c r="S60" s="330"/>
      <c r="T60" s="330"/>
      <c r="U60" s="330"/>
    </row>
    <row r="61" spans="1:40" ht="14.1" customHeight="1" x14ac:dyDescent="0.2">
      <c r="A61" s="302" t="str">
        <f>N3</f>
        <v/>
      </c>
      <c r="B61" s="302"/>
      <c r="C61" s="302"/>
      <c r="D61" s="302"/>
      <c r="E61" s="302"/>
      <c r="F61" s="302"/>
      <c r="G61" s="295">
        <f>N21</f>
        <v>0</v>
      </c>
      <c r="H61" s="296"/>
      <c r="I61" s="36"/>
      <c r="J61" s="36"/>
      <c r="K61" s="290" t="s">
        <v>57</v>
      </c>
      <c r="L61" s="290"/>
      <c r="M61" s="290"/>
      <c r="N61" s="290"/>
      <c r="O61" s="290"/>
      <c r="P61" s="290"/>
      <c r="Q61" s="290"/>
      <c r="R61" s="329"/>
      <c r="S61" s="329"/>
      <c r="T61" s="329"/>
      <c r="U61" s="329"/>
    </row>
    <row r="62" spans="1:40" ht="14.1" customHeight="1" x14ac:dyDescent="0.2">
      <c r="A62" s="302" t="str">
        <f>R3</f>
        <v/>
      </c>
      <c r="B62" s="302"/>
      <c r="C62" s="302"/>
      <c r="D62" s="302"/>
      <c r="E62" s="302"/>
      <c r="F62" s="302"/>
      <c r="G62" s="295">
        <f>R21</f>
        <v>0</v>
      </c>
      <c r="H62" s="296"/>
      <c r="I62" s="36"/>
      <c r="J62" s="36"/>
      <c r="K62" s="290" t="s">
        <v>58</v>
      </c>
      <c r="L62" s="290"/>
      <c r="M62" s="290"/>
      <c r="N62" s="290"/>
      <c r="O62" s="290"/>
      <c r="P62" s="290"/>
      <c r="Q62" s="290"/>
      <c r="R62" s="325"/>
      <c r="S62" s="325"/>
      <c r="T62" s="325"/>
      <c r="U62" s="325"/>
    </row>
    <row r="63" spans="1:40" ht="14.1" customHeight="1" x14ac:dyDescent="0.2">
      <c r="A63" s="231" t="e">
        <f>IF(R68&lt;&gt;0,R68/N68,J121/N68)</f>
        <v>#DIV/0!</v>
      </c>
      <c r="B63" s="231"/>
      <c r="C63" s="231"/>
      <c r="D63" s="231"/>
      <c r="E63" s="231"/>
      <c r="F63" s="231"/>
      <c r="G63" s="231"/>
      <c r="H63" s="231"/>
      <c r="I63" s="231"/>
      <c r="J63" s="231"/>
      <c r="K63" s="231"/>
      <c r="L63" s="290" t="s">
        <v>59</v>
      </c>
      <c r="M63" s="290"/>
      <c r="N63" s="290"/>
      <c r="O63" s="290"/>
      <c r="P63" s="290"/>
      <c r="Q63" s="290"/>
      <c r="R63" s="289"/>
      <c r="S63" s="289"/>
      <c r="T63" s="289"/>
      <c r="U63" s="289"/>
    </row>
    <row r="64" spans="1:40" ht="14.1" customHeight="1" x14ac:dyDescent="0.2">
      <c r="A64" s="326" t="s">
        <v>60</v>
      </c>
      <c r="B64" s="327"/>
      <c r="C64" s="327"/>
      <c r="D64" s="328"/>
      <c r="E64" s="322" t="str">
        <f>IF(A73="",0,"40")</f>
        <v>40</v>
      </c>
      <c r="F64" s="323"/>
      <c r="G64" s="232"/>
      <c r="H64" s="232"/>
      <c r="I64" s="232"/>
      <c r="J64" s="232"/>
      <c r="K64" s="232"/>
      <c r="L64" s="321" t="s">
        <v>61</v>
      </c>
      <c r="M64" s="321"/>
      <c r="N64" s="321"/>
      <c r="O64" s="321"/>
      <c r="P64" s="321"/>
      <c r="Q64" s="321"/>
      <c r="R64" s="320">
        <f>D67+I67+E64</f>
        <v>40</v>
      </c>
      <c r="S64" s="320"/>
      <c r="T64" s="320"/>
      <c r="U64" s="320"/>
    </row>
    <row r="65" spans="1:27" ht="6.75" customHeight="1" x14ac:dyDescent="0.2">
      <c r="A65" s="324"/>
      <c r="B65" s="324"/>
      <c r="C65" s="324"/>
      <c r="D65" s="324"/>
      <c r="E65" s="324"/>
      <c r="F65" s="324"/>
      <c r="G65" s="324"/>
      <c r="H65" s="324"/>
      <c r="I65" s="324"/>
      <c r="J65" s="324"/>
      <c r="K65" s="324"/>
      <c r="L65" s="324"/>
      <c r="M65" s="324"/>
      <c r="N65" s="324"/>
      <c r="O65" s="324"/>
      <c r="P65" s="324"/>
      <c r="Q65" s="324"/>
      <c r="R65" s="324"/>
      <c r="S65" s="324"/>
      <c r="T65" s="324"/>
      <c r="U65" s="324"/>
    </row>
    <row r="66" spans="1:27" ht="14.1" customHeight="1" thickBot="1" x14ac:dyDescent="0.25">
      <c r="A66" s="291" t="s">
        <v>62</v>
      </c>
      <c r="B66" s="291"/>
      <c r="C66" s="291"/>
      <c r="D66" s="291"/>
      <c r="E66" s="291"/>
      <c r="F66" s="291"/>
      <c r="G66" s="291"/>
      <c r="H66" s="291"/>
      <c r="I66" s="291"/>
      <c r="J66" s="291"/>
      <c r="K66" s="291"/>
      <c r="L66" s="292"/>
      <c r="M66" s="292"/>
      <c r="N66" s="292"/>
      <c r="O66" s="292"/>
      <c r="P66" s="292"/>
      <c r="Q66" s="292"/>
      <c r="R66" s="291"/>
      <c r="S66" s="291"/>
      <c r="T66" s="291"/>
      <c r="U66" s="291"/>
    </row>
    <row r="67" spans="1:27" ht="25.5" customHeight="1" thickTop="1" x14ac:dyDescent="0.2">
      <c r="A67" s="514" t="s">
        <v>63</v>
      </c>
      <c r="B67" s="514"/>
      <c r="C67" s="514"/>
      <c r="D67" s="312">
        <v>0</v>
      </c>
      <c r="E67" s="312"/>
      <c r="F67" s="312"/>
      <c r="G67" s="515" t="s">
        <v>64</v>
      </c>
      <c r="H67" s="515"/>
      <c r="I67" s="312">
        <f>MIN(0.02*D67,85)</f>
        <v>0</v>
      </c>
      <c r="J67" s="312"/>
      <c r="K67" s="312"/>
      <c r="L67" s="331" t="s">
        <v>65</v>
      </c>
      <c r="M67" s="332"/>
      <c r="N67" s="333"/>
      <c r="O67" s="318" t="s">
        <v>66</v>
      </c>
      <c r="P67" s="296"/>
      <c r="Q67" s="319"/>
      <c r="R67" s="314" t="s">
        <v>67</v>
      </c>
      <c r="S67" s="315"/>
      <c r="T67" s="315"/>
      <c r="U67" s="316"/>
    </row>
    <row r="68" spans="1:27" ht="21.75" customHeight="1" x14ac:dyDescent="0.2">
      <c r="A68" s="293" t="s">
        <v>68</v>
      </c>
      <c r="B68" s="294"/>
      <c r="C68" s="294"/>
      <c r="D68" s="294"/>
      <c r="E68" s="294"/>
      <c r="F68" s="421"/>
      <c r="G68" s="421"/>
      <c r="H68" s="421"/>
      <c r="I68" s="421"/>
      <c r="J68" s="421"/>
      <c r="K68" s="422"/>
      <c r="L68" s="521"/>
      <c r="M68" s="521"/>
      <c r="N68" s="233"/>
      <c r="O68" s="413" t="e">
        <f>MAX(J121,J123)</f>
        <v>#DIV/0!</v>
      </c>
      <c r="P68" s="413"/>
      <c r="Q68" s="413"/>
      <c r="R68" s="511">
        <v>1.5000000000000001E-25</v>
      </c>
      <c r="S68" s="512"/>
      <c r="T68" s="512"/>
      <c r="U68" s="513"/>
      <c r="W68" s="149"/>
    </row>
    <row r="69" spans="1:27" ht="24.75" customHeight="1" x14ac:dyDescent="0.2">
      <c r="A69" s="459"/>
      <c r="B69" s="460"/>
      <c r="C69" s="460"/>
      <c r="D69" s="460"/>
      <c r="E69" s="460"/>
      <c r="F69" s="460"/>
      <c r="G69" s="460"/>
      <c r="H69" s="460"/>
      <c r="I69" s="461"/>
      <c r="J69" s="501"/>
      <c r="K69" s="502"/>
      <c r="L69" s="501"/>
      <c r="M69" s="503"/>
      <c r="N69" s="234"/>
      <c r="O69" s="498" t="s">
        <v>69</v>
      </c>
      <c r="P69" s="499"/>
      <c r="Q69" s="500"/>
      <c r="R69" s="504" t="e">
        <f>MAX(B130,C130)</f>
        <v>#DIV/0!</v>
      </c>
      <c r="S69" s="504"/>
      <c r="T69" s="504"/>
      <c r="U69" s="505"/>
    </row>
    <row r="70" spans="1:27" ht="14.1" customHeight="1" thickBot="1" x14ac:dyDescent="0.25">
      <c r="A70" s="292" t="s">
        <v>70</v>
      </c>
      <c r="B70" s="292"/>
      <c r="C70" s="292"/>
      <c r="D70" s="292"/>
      <c r="E70" s="292"/>
      <c r="F70" s="292"/>
      <c r="G70" s="292"/>
      <c r="H70" s="292"/>
      <c r="I70" s="292"/>
      <c r="J70" s="292"/>
      <c r="K70" s="292"/>
      <c r="L70" s="292"/>
      <c r="M70" s="292"/>
      <c r="N70" s="292"/>
      <c r="O70" s="292"/>
      <c r="P70" s="292"/>
      <c r="Q70" s="292"/>
      <c r="R70" s="292"/>
      <c r="S70" s="292"/>
      <c r="T70" s="292"/>
      <c r="U70" s="292"/>
    </row>
    <row r="71" spans="1:27" ht="27.75" customHeight="1" thickTop="1" x14ac:dyDescent="0.2">
      <c r="A71" s="296" t="s">
        <v>71</v>
      </c>
      <c r="B71" s="296"/>
      <c r="C71" s="296"/>
      <c r="D71" s="296"/>
      <c r="E71" s="296"/>
      <c r="F71" s="296"/>
      <c r="G71" s="296"/>
      <c r="H71" s="516"/>
      <c r="I71" s="516"/>
      <c r="J71" s="517"/>
      <c r="K71" s="517"/>
      <c r="L71" s="517"/>
      <c r="M71" s="517"/>
      <c r="N71" s="517"/>
      <c r="O71" s="517"/>
      <c r="P71" s="517"/>
      <c r="Q71" s="517"/>
      <c r="R71" s="517"/>
      <c r="S71" s="517"/>
      <c r="T71" s="517"/>
      <c r="U71" s="517"/>
    </row>
    <row r="72" spans="1:27" ht="14.1" customHeight="1" x14ac:dyDescent="0.2">
      <c r="A72" s="414" t="s">
        <v>72</v>
      </c>
      <c r="B72" s="415"/>
      <c r="C72" s="416"/>
      <c r="D72" s="414" t="s">
        <v>73</v>
      </c>
      <c r="E72" s="415"/>
      <c r="F72" s="416"/>
      <c r="G72" s="518" t="s">
        <v>74</v>
      </c>
      <c r="H72" s="519"/>
      <c r="I72" s="520"/>
      <c r="J72" s="414" t="s">
        <v>75</v>
      </c>
      <c r="K72" s="415"/>
      <c r="L72" s="416"/>
      <c r="M72" s="414" t="s">
        <v>76</v>
      </c>
      <c r="N72" s="415"/>
      <c r="O72" s="415"/>
      <c r="P72" s="415"/>
      <c r="Q72" s="416"/>
      <c r="R72" s="414" t="s">
        <v>77</v>
      </c>
      <c r="S72" s="415"/>
      <c r="T72" s="415"/>
      <c r="U72" s="416"/>
    </row>
    <row r="73" spans="1:27" ht="27.75" customHeight="1" x14ac:dyDescent="0.2">
      <c r="A73" s="465">
        <v>0</v>
      </c>
      <c r="B73" s="466"/>
      <c r="C73" s="467"/>
      <c r="D73" s="418"/>
      <c r="E73" s="419"/>
      <c r="F73" s="420"/>
      <c r="G73" s="418"/>
      <c r="H73" s="419"/>
      <c r="I73" s="420"/>
      <c r="J73" s="507" t="e">
        <f>D67/A73</f>
        <v>#DIV/0!</v>
      </c>
      <c r="K73" s="508"/>
      <c r="L73" s="509"/>
      <c r="M73" s="495"/>
      <c r="N73" s="496"/>
      <c r="O73" s="496"/>
      <c r="P73" s="496"/>
      <c r="Q73" s="497"/>
      <c r="R73" s="418"/>
      <c r="S73" s="419"/>
      <c r="T73" s="419"/>
      <c r="U73" s="420"/>
      <c r="X73" s="510"/>
      <c r="Y73" s="510"/>
      <c r="Z73" s="510"/>
      <c r="AA73" s="510"/>
    </row>
    <row r="74" spans="1:27" ht="24" customHeight="1" x14ac:dyDescent="0.2">
      <c r="A74" s="449" t="s">
        <v>923</v>
      </c>
      <c r="B74" s="294"/>
      <c r="C74" s="294"/>
      <c r="D74" s="294"/>
      <c r="E74" s="294"/>
      <c r="F74" s="294"/>
      <c r="G74" s="294"/>
      <c r="H74" s="294"/>
      <c r="I74" s="294"/>
      <c r="J74" s="473"/>
      <c r="K74" s="473"/>
      <c r="L74" s="474"/>
      <c r="M74" s="293" t="s">
        <v>78</v>
      </c>
      <c r="N74" s="294"/>
      <c r="O74" s="294"/>
      <c r="P74" s="294"/>
      <c r="Q74" s="294"/>
      <c r="R74" s="294"/>
      <c r="S74" s="294"/>
      <c r="T74" s="493"/>
      <c r="U74" s="494"/>
    </row>
    <row r="75" spans="1:27" ht="8.25" customHeight="1" x14ac:dyDescent="0.2">
      <c r="A75" s="506"/>
      <c r="B75" s="506"/>
      <c r="C75" s="506"/>
      <c r="D75" s="506"/>
      <c r="E75" s="506"/>
      <c r="F75" s="506"/>
      <c r="G75" s="506"/>
      <c r="H75" s="506"/>
      <c r="I75" s="506"/>
      <c r="J75" s="506"/>
      <c r="K75" s="506"/>
      <c r="L75" s="506"/>
      <c r="M75" s="506"/>
      <c r="N75" s="506"/>
      <c r="O75" s="506"/>
      <c r="P75" s="506"/>
      <c r="Q75" s="506"/>
      <c r="R75" s="506"/>
      <c r="S75" s="506"/>
      <c r="T75" s="506"/>
      <c r="U75" s="506"/>
    </row>
    <row r="76" spans="1:27" ht="14.1" customHeight="1" thickBot="1" x14ac:dyDescent="0.25">
      <c r="A76" s="292" t="s">
        <v>79</v>
      </c>
      <c r="B76" s="292"/>
      <c r="C76" s="292"/>
      <c r="D76" s="292"/>
      <c r="E76" s="292"/>
      <c r="F76" s="292"/>
      <c r="G76" s="292"/>
      <c r="H76" s="292"/>
      <c r="I76" s="292"/>
      <c r="J76" s="292"/>
      <c r="K76" s="292"/>
      <c r="L76" s="292"/>
      <c r="M76" s="292"/>
      <c r="N76" s="292"/>
      <c r="O76" s="292"/>
      <c r="P76" s="292"/>
      <c r="Q76" s="292"/>
      <c r="R76" s="292"/>
      <c r="S76" s="292"/>
      <c r="T76" s="292"/>
      <c r="U76" s="292"/>
    </row>
    <row r="77" spans="1:27" ht="6" customHeight="1" thickTop="1" x14ac:dyDescent="0.2">
      <c r="A77" s="472"/>
      <c r="B77" s="472"/>
      <c r="C77" s="472"/>
      <c r="D77" s="472"/>
      <c r="E77" s="472"/>
      <c r="F77" s="472"/>
      <c r="G77" s="472"/>
      <c r="H77" s="472"/>
      <c r="I77" s="472"/>
      <c r="J77" s="472"/>
      <c r="K77" s="472"/>
      <c r="L77" s="472"/>
      <c r="M77" s="472"/>
      <c r="N77" s="472"/>
      <c r="O77" s="472"/>
      <c r="P77" s="472"/>
      <c r="Q77" s="472"/>
      <c r="R77" s="472"/>
      <c r="S77" s="472"/>
      <c r="T77" s="472"/>
      <c r="U77" s="472"/>
    </row>
    <row r="78" spans="1:27" ht="14.1" customHeight="1" x14ac:dyDescent="0.2">
      <c r="A78" s="296"/>
      <c r="B78" s="296"/>
      <c r="C78" s="296"/>
      <c r="D78" s="291">
        <v>0</v>
      </c>
      <c r="E78" s="291"/>
      <c r="F78" s="291">
        <v>1</v>
      </c>
      <c r="G78" s="291"/>
      <c r="H78" s="291"/>
      <c r="I78" s="291">
        <v>2</v>
      </c>
      <c r="J78" s="291"/>
      <c r="K78" s="291"/>
      <c r="L78" s="291">
        <v>3</v>
      </c>
      <c r="M78" s="291"/>
      <c r="N78" s="291"/>
      <c r="O78" s="291">
        <v>4</v>
      </c>
      <c r="P78" s="291"/>
      <c r="Q78" s="291"/>
      <c r="R78" s="291">
        <v>5</v>
      </c>
      <c r="S78" s="291"/>
      <c r="T78" s="20"/>
      <c r="U78" s="20"/>
    </row>
    <row r="79" spans="1:27" ht="14.1" customHeight="1" x14ac:dyDescent="0.2">
      <c r="A79" s="291" t="s">
        <v>80</v>
      </c>
      <c r="B79" s="291"/>
      <c r="C79" s="291"/>
      <c r="D79" s="423" t="s">
        <v>81</v>
      </c>
      <c r="E79" s="423"/>
      <c r="F79" s="423" t="s">
        <v>82</v>
      </c>
      <c r="G79" s="423"/>
      <c r="H79" s="423"/>
      <c r="I79" s="423" t="s">
        <v>83</v>
      </c>
      <c r="J79" s="423"/>
      <c r="K79" s="423"/>
      <c r="L79" s="423" t="s">
        <v>84</v>
      </c>
      <c r="M79" s="423"/>
      <c r="N79" s="423"/>
      <c r="O79" s="423" t="s">
        <v>85</v>
      </c>
      <c r="P79" s="423"/>
      <c r="Q79" s="423"/>
      <c r="R79" s="423" t="s">
        <v>86</v>
      </c>
      <c r="S79" s="423"/>
      <c r="T79" s="491" t="e">
        <f>IF(L21&gt;750,"5",IF(L21&gt;700,"4",IF(L21&gt;660,"3",IF(L21&gt;630,"2",IF(L21&gt;600,"1","0")))))</f>
        <v>#DIV/0!</v>
      </c>
      <c r="U79" s="491"/>
    </row>
    <row r="80" spans="1:27" ht="14.1" customHeight="1" x14ac:dyDescent="0.2">
      <c r="A80" s="291" t="s">
        <v>87</v>
      </c>
      <c r="B80" s="291"/>
      <c r="C80" s="291"/>
      <c r="D80" s="423">
        <v>0</v>
      </c>
      <c r="E80" s="423"/>
      <c r="F80" s="423">
        <v>1</v>
      </c>
      <c r="G80" s="423"/>
      <c r="H80" s="423"/>
      <c r="I80" s="423">
        <v>2</v>
      </c>
      <c r="J80" s="423"/>
      <c r="K80" s="423"/>
      <c r="L80" s="423">
        <v>3</v>
      </c>
      <c r="M80" s="423"/>
      <c r="N80" s="423"/>
      <c r="O80" s="423">
        <v>4</v>
      </c>
      <c r="P80" s="423"/>
      <c r="Q80" s="423"/>
      <c r="R80" s="423">
        <v>5</v>
      </c>
      <c r="S80" s="423"/>
      <c r="T80" s="491" t="e">
        <f>T79</f>
        <v>#DIV/0!</v>
      </c>
      <c r="U80" s="491"/>
    </row>
    <row r="81" spans="1:21" ht="14.1" customHeight="1" x14ac:dyDescent="0.2">
      <c r="A81" s="291" t="s">
        <v>88</v>
      </c>
      <c r="B81" s="291"/>
      <c r="C81" s="291"/>
      <c r="D81" s="423" t="s">
        <v>89</v>
      </c>
      <c r="E81" s="423"/>
      <c r="F81" s="423" t="s">
        <v>90</v>
      </c>
      <c r="G81" s="423"/>
      <c r="H81" s="423"/>
      <c r="I81" s="423" t="s">
        <v>91</v>
      </c>
      <c r="J81" s="423"/>
      <c r="K81" s="423"/>
      <c r="L81" s="423" t="s">
        <v>92</v>
      </c>
      <c r="M81" s="423"/>
      <c r="N81" s="423"/>
      <c r="O81" s="423" t="s">
        <v>93</v>
      </c>
      <c r="P81" s="423"/>
      <c r="Q81" s="423"/>
      <c r="R81" s="423" t="s">
        <v>94</v>
      </c>
      <c r="S81" s="423"/>
      <c r="T81" s="491" t="e">
        <f>IF(H46&lt;32.1%,"10",IF(H46&lt;35.1%,"8",IF(H46&lt;38.1%,"6",IF(H46&lt;40.1%,"4",IF(H46&lt;42.1%,"2","0")))))</f>
        <v>#DIV/0!</v>
      </c>
      <c r="U81" s="491"/>
    </row>
    <row r="82" spans="1:21" ht="14.1" customHeight="1" x14ac:dyDescent="0.2">
      <c r="A82" s="291" t="s">
        <v>95</v>
      </c>
      <c r="B82" s="291"/>
      <c r="C82" s="291"/>
      <c r="D82" s="468" t="s">
        <v>96</v>
      </c>
      <c r="E82" s="468"/>
      <c r="F82" s="468" t="s">
        <v>97</v>
      </c>
      <c r="G82" s="468"/>
      <c r="H82" s="468"/>
      <c r="I82" s="468" t="s">
        <v>98</v>
      </c>
      <c r="J82" s="468"/>
      <c r="K82" s="468"/>
      <c r="L82" s="468" t="s">
        <v>99</v>
      </c>
      <c r="M82" s="468"/>
      <c r="N82" s="423"/>
      <c r="O82" s="423" t="s">
        <v>100</v>
      </c>
      <c r="P82" s="423"/>
      <c r="Q82" s="423"/>
      <c r="R82" s="475" t="s">
        <v>101</v>
      </c>
      <c r="S82" s="475"/>
      <c r="T82" s="491" t="e">
        <f>IF(M73="100 unsecured","0",IF(M73="555 - Used vehicle (&gt; 5 YRS OLD)","0",IF(J73&gt;100%,"1",IF(J73&gt;90%,"2",IF(J73&gt;70%,"3",IF(J73&gt;50%,"4","5"))))))</f>
        <v>#DIV/0!</v>
      </c>
      <c r="U82" s="491"/>
    </row>
    <row r="83" spans="1:21" ht="17.25" customHeight="1" x14ac:dyDescent="0.2">
      <c r="A83" s="293" t="s">
        <v>102</v>
      </c>
      <c r="B83" s="294"/>
      <c r="C83" s="294"/>
      <c r="D83" s="294"/>
      <c r="E83" s="294"/>
      <c r="F83" s="294"/>
      <c r="G83" s="294"/>
      <c r="H83" s="294"/>
      <c r="I83" s="294"/>
      <c r="J83" s="294"/>
      <c r="K83" s="294"/>
      <c r="L83" s="294"/>
      <c r="M83" s="471"/>
      <c r="N83" s="469"/>
      <c r="O83" s="470"/>
      <c r="P83" s="235"/>
      <c r="Q83" s="235"/>
      <c r="R83" s="235"/>
      <c r="S83" s="236"/>
      <c r="T83" s="237" t="e">
        <f>(T79+T80+T81+T82)*4</f>
        <v>#DIV/0!</v>
      </c>
      <c r="U83" s="238" t="s">
        <v>103</v>
      </c>
    </row>
    <row r="84" spans="1:21" ht="24.75" customHeight="1" x14ac:dyDescent="0.25">
      <c r="A84" s="481"/>
      <c r="B84" s="482"/>
      <c r="C84" s="482"/>
      <c r="D84" s="482"/>
      <c r="E84" s="482"/>
      <c r="F84" s="482"/>
      <c r="G84" s="482"/>
      <c r="H84" s="482"/>
      <c r="I84" s="482"/>
      <c r="J84" s="482"/>
      <c r="K84" s="482"/>
      <c r="L84" s="482"/>
      <c r="M84" s="483"/>
      <c r="N84" s="479"/>
      <c r="O84" s="480"/>
      <c r="P84" s="477" t="s">
        <v>104</v>
      </c>
      <c r="Q84" s="478"/>
      <c r="R84" s="478"/>
      <c r="S84" s="478"/>
      <c r="T84" s="476" t="e">
        <f>IF(T83&gt;89,"1",IF(T83&gt;69,"2",IF(T83&gt;59,"3",IF(T83&gt;49,"4",IF(T83&gt;39,"5",IF(T83&gt;29,"6","DECLINE"))))))</f>
        <v>#DIV/0!</v>
      </c>
      <c r="U84" s="476"/>
    </row>
    <row r="85" spans="1:21" ht="21.75" customHeight="1" x14ac:dyDescent="0.2">
      <c r="A85" s="484"/>
      <c r="B85" s="485"/>
      <c r="C85" s="485"/>
      <c r="D85" s="485"/>
      <c r="E85" s="485"/>
      <c r="F85" s="485"/>
      <c r="G85" s="485"/>
      <c r="H85" s="485"/>
      <c r="I85" s="485"/>
      <c r="J85" s="485"/>
      <c r="K85" s="485"/>
      <c r="L85" s="485"/>
      <c r="M85" s="486"/>
      <c r="N85" s="294" t="s">
        <v>105</v>
      </c>
      <c r="O85" s="294"/>
      <c r="P85" s="294"/>
      <c r="Q85" s="294"/>
      <c r="R85" s="294"/>
      <c r="S85" s="294"/>
      <c r="T85" s="492">
        <v>0</v>
      </c>
      <c r="U85" s="492"/>
    </row>
    <row r="86" spans="1:21" ht="29.25" customHeight="1" x14ac:dyDescent="0.25">
      <c r="A86" s="487"/>
      <c r="B86" s="488"/>
      <c r="C86" s="488"/>
      <c r="D86" s="488"/>
      <c r="E86" s="488"/>
      <c r="F86" s="488"/>
      <c r="G86" s="488"/>
      <c r="H86" s="488"/>
      <c r="I86" s="488"/>
      <c r="J86" s="488"/>
      <c r="K86" s="488"/>
      <c r="L86" s="488"/>
      <c r="M86" s="489"/>
      <c r="N86" s="446" t="s">
        <v>106</v>
      </c>
      <c r="O86" s="447"/>
      <c r="P86" s="447"/>
      <c r="Q86" s="447"/>
      <c r="R86" s="448" t="e">
        <f>IF(T86&gt;89,"1",IF(T86&gt;69,"2",IF(T86&gt;59,"3",IF(T86&gt;49,"4",IF(T86&gt;39,"5",IF(T86&gt;29,"6","DECLINE"))))))</f>
        <v>#DIV/0!</v>
      </c>
      <c r="S86" s="448"/>
      <c r="T86" s="237" t="e">
        <f>(T79+T80+T81+T82+T85)*4</f>
        <v>#DIV/0!</v>
      </c>
      <c r="U86" s="22" t="s">
        <v>103</v>
      </c>
    </row>
    <row r="87" spans="1:21" ht="5.25" hidden="1" customHeight="1" x14ac:dyDescent="0.2">
      <c r="A87" s="490"/>
      <c r="B87" s="358"/>
      <c r="C87" s="358"/>
      <c r="D87" s="358"/>
      <c r="E87" s="358"/>
      <c r="F87" s="358"/>
      <c r="G87" s="358"/>
      <c r="H87" s="358"/>
      <c r="I87" s="358"/>
      <c r="J87" s="358"/>
      <c r="K87" s="358"/>
      <c r="L87" s="358"/>
      <c r="M87" s="358"/>
      <c r="N87" s="358"/>
      <c r="O87" s="358"/>
      <c r="P87" s="358"/>
      <c r="Q87" s="358"/>
      <c r="R87" s="358"/>
      <c r="S87" s="358"/>
      <c r="T87" s="358"/>
      <c r="U87" s="358"/>
    </row>
    <row r="88" spans="1:21" ht="5.25" customHeight="1" thickBot="1" x14ac:dyDescent="0.25">
      <c r="A88" s="324"/>
      <c r="B88" s="324"/>
      <c r="C88" s="324"/>
      <c r="D88" s="324"/>
      <c r="E88" s="324"/>
      <c r="F88" s="324"/>
      <c r="G88" s="324"/>
      <c r="H88" s="324"/>
      <c r="I88" s="324"/>
      <c r="J88" s="324"/>
      <c r="K88" s="324"/>
      <c r="L88" s="324"/>
      <c r="M88" s="324"/>
      <c r="N88" s="324"/>
      <c r="O88" s="324"/>
      <c r="P88" s="324"/>
      <c r="Q88" s="324"/>
      <c r="R88" s="324"/>
      <c r="S88" s="324"/>
      <c r="T88" s="324"/>
      <c r="U88" s="324"/>
    </row>
    <row r="89" spans="1:21" ht="12.75" customHeight="1" thickBot="1" x14ac:dyDescent="0.25">
      <c r="A89" s="454" t="s">
        <v>107</v>
      </c>
      <c r="B89" s="455"/>
      <c r="C89" s="455"/>
      <c r="D89" s="455"/>
      <c r="E89" s="455"/>
      <c r="F89" s="455"/>
      <c r="G89" s="455"/>
      <c r="H89" s="455"/>
      <c r="I89" s="455"/>
      <c r="J89" s="455"/>
      <c r="K89" s="455"/>
      <c r="L89" s="455"/>
      <c r="M89" s="455"/>
      <c r="N89" s="455"/>
      <c r="O89" s="455"/>
      <c r="P89" s="455"/>
      <c r="Q89" s="455"/>
      <c r="R89" s="455"/>
      <c r="S89" s="455"/>
      <c r="T89" s="455"/>
      <c r="U89" s="456"/>
    </row>
    <row r="90" spans="1:21" ht="13.5" customHeight="1" x14ac:dyDescent="0.2">
      <c r="A90" s="186"/>
      <c r="B90" s="452" t="s">
        <v>108</v>
      </c>
      <c r="C90" s="453"/>
      <c r="D90" s="453"/>
      <c r="E90" s="453"/>
      <c r="F90" s="453"/>
      <c r="G90" s="453"/>
      <c r="H90" s="453"/>
      <c r="I90" s="453"/>
      <c r="J90" s="453"/>
      <c r="K90" s="450" t="s">
        <v>109</v>
      </c>
      <c r="L90" s="450"/>
      <c r="M90" s="450"/>
      <c r="N90" s="450"/>
      <c r="O90" s="450"/>
      <c r="P90" s="450"/>
      <c r="Q90" s="450"/>
      <c r="R90" s="450"/>
      <c r="S90" s="450"/>
      <c r="T90" s="451"/>
      <c r="U90" s="217"/>
    </row>
    <row r="91" spans="1:21" ht="17.25" customHeight="1" x14ac:dyDescent="0.2">
      <c r="A91" s="218"/>
      <c r="B91" s="452" t="s">
        <v>110</v>
      </c>
      <c r="C91" s="453"/>
      <c r="D91" s="453"/>
      <c r="E91" s="453"/>
      <c r="F91" s="453"/>
      <c r="G91" s="453"/>
      <c r="H91" s="453"/>
      <c r="I91" s="453"/>
      <c r="J91" s="453"/>
      <c r="K91" s="450" t="s">
        <v>111</v>
      </c>
      <c r="L91" s="450"/>
      <c r="M91" s="450"/>
      <c r="N91" s="450"/>
      <c r="O91" s="450"/>
      <c r="P91" s="450"/>
      <c r="Q91" s="450"/>
      <c r="R91" s="450"/>
      <c r="S91" s="450"/>
      <c r="T91" s="451"/>
      <c r="U91" s="239"/>
    </row>
    <row r="92" spans="1:21" ht="17.25" customHeight="1" x14ac:dyDescent="0.2">
      <c r="A92" s="239"/>
      <c r="B92" s="452" t="s">
        <v>112</v>
      </c>
      <c r="C92" s="453"/>
      <c r="D92" s="453"/>
      <c r="E92" s="453"/>
      <c r="F92" s="453"/>
      <c r="G92" s="453"/>
      <c r="H92" s="453"/>
      <c r="I92" s="453"/>
      <c r="J92" s="453"/>
      <c r="K92" s="450" t="s">
        <v>113</v>
      </c>
      <c r="L92" s="450"/>
      <c r="M92" s="450"/>
      <c r="N92" s="450"/>
      <c r="O92" s="450"/>
      <c r="P92" s="450"/>
      <c r="Q92" s="450"/>
      <c r="R92" s="450"/>
      <c r="S92" s="450"/>
      <c r="T92" s="451"/>
      <c r="U92" s="239"/>
    </row>
    <row r="93" spans="1:21" ht="15" customHeight="1" x14ac:dyDescent="0.2">
      <c r="A93" s="240"/>
      <c r="B93" s="452" t="s">
        <v>114</v>
      </c>
      <c r="C93" s="453"/>
      <c r="D93" s="453"/>
      <c r="E93" s="453"/>
      <c r="F93" s="453"/>
      <c r="G93" s="453"/>
      <c r="H93" s="453"/>
      <c r="I93" s="453"/>
      <c r="J93" s="453"/>
      <c r="K93" s="450" t="s">
        <v>115</v>
      </c>
      <c r="L93" s="450"/>
      <c r="M93" s="450"/>
      <c r="N93" s="450"/>
      <c r="O93" s="450"/>
      <c r="P93" s="450"/>
      <c r="Q93" s="450"/>
      <c r="R93" s="450"/>
      <c r="S93" s="450"/>
      <c r="T93" s="451"/>
      <c r="U93" s="240"/>
    </row>
    <row r="94" spans="1:21" ht="15" customHeight="1" x14ac:dyDescent="0.2">
      <c r="A94" s="239"/>
      <c r="B94" s="241" t="s">
        <v>116</v>
      </c>
      <c r="C94" s="242"/>
      <c r="D94" s="242"/>
      <c r="E94" s="242"/>
      <c r="F94" s="242"/>
      <c r="G94" s="242"/>
      <c r="H94" s="249"/>
      <c r="I94" s="261"/>
      <c r="J94" s="252" t="s">
        <v>919</v>
      </c>
      <c r="K94" s="252"/>
      <c r="L94" s="252"/>
      <c r="M94" s="253"/>
      <c r="N94" s="243"/>
      <c r="O94" s="243"/>
      <c r="P94" s="250"/>
      <c r="Q94" s="250"/>
      <c r="R94" s="250"/>
      <c r="S94" s="250"/>
      <c r="T94" s="251" t="s">
        <v>920</v>
      </c>
      <c r="U94" s="239"/>
    </row>
    <row r="95" spans="1:21" ht="13.5" customHeight="1" x14ac:dyDescent="0.2">
      <c r="A95" s="449" t="s">
        <v>117</v>
      </c>
      <c r="B95" s="424"/>
      <c r="C95" s="424"/>
      <c r="D95" s="424"/>
      <c r="E95" s="424"/>
      <c r="F95" s="424"/>
      <c r="G95" s="424"/>
      <c r="H95" s="424"/>
      <c r="I95" s="424"/>
      <c r="J95" s="424"/>
      <c r="K95" s="424"/>
      <c r="L95" s="424"/>
      <c r="M95" s="424"/>
      <c r="N95" s="424"/>
      <c r="O95" s="424"/>
      <c r="P95" s="424"/>
      <c r="Q95" s="424"/>
      <c r="R95" s="424"/>
      <c r="S95" s="424"/>
      <c r="T95" s="424"/>
      <c r="U95" s="425"/>
    </row>
    <row r="96" spans="1:21" ht="12.75" customHeight="1" x14ac:dyDescent="0.2">
      <c r="A96" s="430"/>
      <c r="B96" s="431"/>
      <c r="C96" s="431"/>
      <c r="D96" s="431"/>
      <c r="E96" s="431"/>
      <c r="F96" s="431"/>
      <c r="G96" s="431"/>
      <c r="H96" s="431"/>
      <c r="I96" s="431"/>
      <c r="J96" s="431"/>
      <c r="K96" s="431"/>
      <c r="L96" s="431"/>
      <c r="M96" s="431"/>
      <c r="N96" s="431"/>
      <c r="O96" s="431"/>
      <c r="P96" s="431"/>
      <c r="Q96" s="431"/>
      <c r="R96" s="431"/>
      <c r="S96" s="431"/>
      <c r="T96" s="431"/>
      <c r="U96" s="432"/>
    </row>
    <row r="97" spans="1:21" ht="12" customHeight="1" x14ac:dyDescent="0.2">
      <c r="A97" s="433"/>
      <c r="B97" s="434"/>
      <c r="C97" s="434"/>
      <c r="D97" s="434"/>
      <c r="E97" s="434"/>
      <c r="F97" s="434"/>
      <c r="G97" s="434"/>
      <c r="H97" s="434"/>
      <c r="I97" s="434"/>
      <c r="J97" s="434"/>
      <c r="K97" s="434"/>
      <c r="L97" s="434"/>
      <c r="M97" s="434"/>
      <c r="N97" s="434"/>
      <c r="O97" s="434"/>
      <c r="P97" s="434"/>
      <c r="Q97" s="434"/>
      <c r="R97" s="434"/>
      <c r="S97" s="434"/>
      <c r="T97" s="434"/>
      <c r="U97" s="435"/>
    </row>
    <row r="98" spans="1:21" ht="9.75" customHeight="1" x14ac:dyDescent="0.2">
      <c r="A98" s="433"/>
      <c r="B98" s="434"/>
      <c r="C98" s="434"/>
      <c r="D98" s="434"/>
      <c r="E98" s="434"/>
      <c r="F98" s="434"/>
      <c r="G98" s="434"/>
      <c r="H98" s="434"/>
      <c r="I98" s="434"/>
      <c r="J98" s="434"/>
      <c r="K98" s="434"/>
      <c r="L98" s="434"/>
      <c r="M98" s="434"/>
      <c r="N98" s="434"/>
      <c r="O98" s="434"/>
      <c r="P98" s="434"/>
      <c r="Q98" s="434"/>
      <c r="R98" s="434"/>
      <c r="S98" s="434"/>
      <c r="T98" s="434"/>
      <c r="U98" s="435"/>
    </row>
    <row r="99" spans="1:21" ht="1.5" customHeight="1" x14ac:dyDescent="0.2">
      <c r="A99" s="433"/>
      <c r="B99" s="434"/>
      <c r="C99" s="434"/>
      <c r="D99" s="434"/>
      <c r="E99" s="434"/>
      <c r="F99" s="434"/>
      <c r="G99" s="434"/>
      <c r="H99" s="434"/>
      <c r="I99" s="434"/>
      <c r="J99" s="434"/>
      <c r="K99" s="434"/>
      <c r="L99" s="434"/>
      <c r="M99" s="434"/>
      <c r="N99" s="434"/>
      <c r="O99" s="434"/>
      <c r="P99" s="434"/>
      <c r="Q99" s="434"/>
      <c r="R99" s="434"/>
      <c r="S99" s="434"/>
      <c r="T99" s="434"/>
      <c r="U99" s="435"/>
    </row>
    <row r="100" spans="1:21" ht="1.5" customHeight="1" x14ac:dyDescent="0.2">
      <c r="A100" s="433"/>
      <c r="B100" s="434"/>
      <c r="C100" s="434"/>
      <c r="D100" s="434"/>
      <c r="E100" s="434"/>
      <c r="F100" s="434"/>
      <c r="G100" s="434"/>
      <c r="H100" s="434"/>
      <c r="I100" s="434"/>
      <c r="J100" s="434"/>
      <c r="K100" s="434"/>
      <c r="L100" s="434"/>
      <c r="M100" s="434"/>
      <c r="N100" s="434"/>
      <c r="O100" s="434"/>
      <c r="P100" s="434"/>
      <c r="Q100" s="434"/>
      <c r="R100" s="434"/>
      <c r="S100" s="434"/>
      <c r="T100" s="434"/>
      <c r="U100" s="435"/>
    </row>
    <row r="101" spans="1:21" ht="14.1" customHeight="1" x14ac:dyDescent="0.2">
      <c r="A101" s="433"/>
      <c r="B101" s="434"/>
      <c r="C101" s="434"/>
      <c r="D101" s="434"/>
      <c r="E101" s="434"/>
      <c r="F101" s="434"/>
      <c r="G101" s="434"/>
      <c r="H101" s="434"/>
      <c r="I101" s="434"/>
      <c r="J101" s="434"/>
      <c r="K101" s="434"/>
      <c r="L101" s="434"/>
      <c r="M101" s="434"/>
      <c r="N101" s="434"/>
      <c r="O101" s="434"/>
      <c r="P101" s="434"/>
      <c r="Q101" s="434"/>
      <c r="R101" s="434"/>
      <c r="S101" s="434"/>
      <c r="T101" s="434"/>
      <c r="U101" s="435"/>
    </row>
    <row r="102" spans="1:21" ht="12" customHeight="1" x14ac:dyDescent="0.2">
      <c r="A102" s="433"/>
      <c r="B102" s="434"/>
      <c r="C102" s="434"/>
      <c r="D102" s="434"/>
      <c r="E102" s="434"/>
      <c r="F102" s="434"/>
      <c r="G102" s="434"/>
      <c r="H102" s="434"/>
      <c r="I102" s="434"/>
      <c r="J102" s="434"/>
      <c r="K102" s="434"/>
      <c r="L102" s="434"/>
      <c r="M102" s="434"/>
      <c r="N102" s="434"/>
      <c r="O102" s="434"/>
      <c r="P102" s="434"/>
      <c r="Q102" s="434"/>
      <c r="R102" s="434"/>
      <c r="S102" s="434"/>
      <c r="T102" s="434"/>
      <c r="U102" s="435"/>
    </row>
    <row r="103" spans="1:21" ht="21.75" customHeight="1" x14ac:dyDescent="0.2">
      <c r="A103" s="436"/>
      <c r="B103" s="437"/>
      <c r="C103" s="437"/>
      <c r="D103" s="437"/>
      <c r="E103" s="437"/>
      <c r="F103" s="437"/>
      <c r="G103" s="437"/>
      <c r="H103" s="437"/>
      <c r="I103" s="437"/>
      <c r="J103" s="437"/>
      <c r="K103" s="437"/>
      <c r="L103" s="437"/>
      <c r="M103" s="437"/>
      <c r="N103" s="437"/>
      <c r="O103" s="437"/>
      <c r="P103" s="437"/>
      <c r="Q103" s="437"/>
      <c r="R103" s="437"/>
      <c r="S103" s="437"/>
      <c r="T103" s="437"/>
      <c r="U103" s="438"/>
    </row>
    <row r="104" spans="1:21" ht="12.75" customHeight="1" x14ac:dyDescent="0.2">
      <c r="A104" s="439" t="s">
        <v>118</v>
      </c>
      <c r="B104" s="440"/>
      <c r="C104" s="244"/>
      <c r="D104" s="245" t="s">
        <v>119</v>
      </c>
      <c r="E104" s="244"/>
      <c r="F104" s="246" t="s">
        <v>120</v>
      </c>
      <c r="G104" s="245" t="s">
        <v>121</v>
      </c>
      <c r="H104" s="444"/>
      <c r="I104" s="335"/>
      <c r="J104" s="441" t="s">
        <v>122</v>
      </c>
      <c r="K104" s="441"/>
      <c r="L104" s="442"/>
      <c r="M104" s="443"/>
      <c r="N104" s="457" t="s">
        <v>123</v>
      </c>
      <c r="O104" s="458"/>
      <c r="P104" s="444"/>
      <c r="Q104" s="444"/>
      <c r="R104" s="439" t="s">
        <v>124</v>
      </c>
      <c r="S104" s="440"/>
      <c r="T104" s="444"/>
      <c r="U104" s="335"/>
    </row>
    <row r="105" spans="1:21" ht="14.1" customHeight="1" x14ac:dyDescent="0.2">
      <c r="A105" s="247" t="str">
        <f>IF(G57+1=1,"NO",IF(G57&lt;660,"YES","NO"))</f>
        <v>NO</v>
      </c>
      <c r="B105" s="247" t="str">
        <f>IF(G58+1=1,"NO",IF(G58&lt;661,"YES","NO"))</f>
        <v>NO</v>
      </c>
      <c r="C105" s="247" t="str">
        <f>IF(G61+1=1,"NO",IF(G61&lt;661,"YES","NO"))</f>
        <v>NO</v>
      </c>
      <c r="D105" s="247" t="str">
        <f>IF(G62+1=1,"NO",IF(G62&lt;661,"YES","NO"))</f>
        <v>NO</v>
      </c>
      <c r="E105" s="426"/>
      <c r="F105" s="426"/>
      <c r="G105" s="426"/>
      <c r="H105" s="445"/>
      <c r="I105" s="445"/>
      <c r="J105" s="445"/>
      <c r="K105" s="445"/>
      <c r="L105" s="445"/>
      <c r="M105" s="445"/>
      <c r="N105" s="424"/>
      <c r="O105" s="425"/>
      <c r="P105" s="427" t="str">
        <f>IF(D7="no","You need to get ID",IF(H7="no","You need to get ID",IF(N7="no","You need to get ID",IF(R7="no","You need to get ID",""))))</f>
        <v/>
      </c>
      <c r="Q105" s="428"/>
      <c r="R105" s="428"/>
      <c r="S105" s="428"/>
      <c r="T105" s="428"/>
      <c r="U105" s="429"/>
    </row>
    <row r="106" spans="1:21" ht="14.1" customHeight="1" x14ac:dyDescent="0.2">
      <c r="A106" s="23"/>
      <c r="B106" s="285" t="str">
        <f>IF(L69="no","",IF(L69="","","2"))</f>
        <v/>
      </c>
      <c r="C106" s="21" t="str">
        <f>IF(G8="3","3",IF(K8="3","3",IF(Q8="3","3",IF(U8="3","3",IF(G17="3","3",IF(K17="3","3",IF(Q17="3","3",IF(U17="3","3",""))))))))</f>
        <v/>
      </c>
      <c r="D106" s="285" t="str">
        <f>IF(T74="yes","4","")</f>
        <v/>
      </c>
      <c r="E106" s="23" t="str">
        <f>IF(A105="YES","5",IF(B105="YES","5",IF(C105="YES","5",IF(D105="YES","5","0"))))</f>
        <v>0</v>
      </c>
      <c r="F106" s="285"/>
      <c r="G106" s="23" t="str">
        <f>IF(R73="Exception 7 - ltv","7"," ")</f>
        <v xml:space="preserve"> </v>
      </c>
      <c r="H106" s="23" t="str">
        <f>IF(J69="no","",IF(J69="","","8"))</f>
        <v/>
      </c>
      <c r="I106" s="23" t="str">
        <f>IF(A91="","", "9")</f>
        <v/>
      </c>
      <c r="J106" s="23" t="e">
        <f>IF(H46&gt;0.38,"10","")</f>
        <v>#DIV/0!</v>
      </c>
      <c r="K106" s="23" t="str">
        <f>IF((E106+C55)=5.01,"11", " ")</f>
        <v xml:space="preserve"> </v>
      </c>
      <c r="L106" s="285" t="str">
        <f>IF((E106+C55)=0.01,"12", " ")</f>
        <v xml:space="preserve"> </v>
      </c>
      <c r="M106" s="23" t="str">
        <f>IF(A92="","", "13")</f>
        <v/>
      </c>
      <c r="N106" s="23" t="str">
        <f>IF(A94="x","28","")</f>
        <v/>
      </c>
      <c r="O106" s="23" t="str">
        <f>IF(U92="","", "15")</f>
        <v/>
      </c>
      <c r="P106" s="285" t="str">
        <f>IF(U90="","", "20")</f>
        <v/>
      </c>
      <c r="Q106" s="285" t="str">
        <f>IF(U91="","", "21")</f>
        <v/>
      </c>
      <c r="R106" s="285" t="str">
        <f>IF(A90="","", "TDR")</f>
        <v/>
      </c>
      <c r="S106" s="248" t="str">
        <f>IF(N3="","","24")</f>
        <v/>
      </c>
      <c r="T106" s="248" t="str">
        <f>IF(U93="","","25")</f>
        <v/>
      </c>
      <c r="U106" s="248" t="str">
        <f>IF(A93="","","14")</f>
        <v/>
      </c>
    </row>
    <row r="107" spans="1:21" ht="14.1" customHeight="1" x14ac:dyDescent="0.2">
      <c r="A107" s="254"/>
      <c r="B107" s="254"/>
      <c r="C107" s="254"/>
      <c r="D107" s="254"/>
      <c r="E107" s="254"/>
      <c r="F107" s="254"/>
      <c r="G107" s="254"/>
      <c r="H107" s="254"/>
      <c r="I107" s="254"/>
      <c r="J107" s="254"/>
      <c r="K107" s="254"/>
      <c r="L107" s="254"/>
      <c r="M107" s="254"/>
      <c r="N107" s="254"/>
      <c r="O107" s="254"/>
      <c r="P107" s="254"/>
      <c r="Q107" s="254"/>
      <c r="R107" s="254"/>
      <c r="S107" s="254"/>
      <c r="T107" s="254"/>
      <c r="U107" s="254"/>
    </row>
    <row r="108" spans="1:21" ht="14.1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</row>
    <row r="109" spans="1:21" ht="14.1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</row>
    <row r="110" spans="1:21" ht="14.1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</row>
    <row r="111" spans="1:21" ht="14.1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</row>
    <row r="112" spans="1:21" ht="14.1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</row>
    <row r="113" spans="1:21" ht="14.1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</row>
    <row r="114" spans="1:2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</row>
    <row r="115" spans="1:2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</row>
    <row r="116" spans="1:2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</row>
    <row r="117" spans="1:2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</row>
    <row r="118" spans="1:2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</row>
    <row r="119" spans="1:2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</row>
    <row r="120" spans="1:21" x14ac:dyDescent="0.2">
      <c r="A120" s="1"/>
      <c r="B120" s="1" t="s">
        <v>125</v>
      </c>
      <c r="C120" s="1" t="s">
        <v>126</v>
      </c>
      <c r="D120" s="1" t="s">
        <v>127</v>
      </c>
      <c r="E120" s="1" t="s">
        <v>128</v>
      </c>
      <c r="F120" s="1" t="s">
        <v>129</v>
      </c>
      <c r="G120" s="1" t="s">
        <v>130</v>
      </c>
      <c r="H120" s="1" t="s">
        <v>131</v>
      </c>
      <c r="I120" s="1" t="s">
        <v>80</v>
      </c>
      <c r="J120" s="1" t="s">
        <v>132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</row>
    <row r="121" spans="1:21" x14ac:dyDescent="0.2">
      <c r="A121" s="1"/>
      <c r="B121" s="151">
        <f>IF(D67&lt;5000,5000,
IF(D67&lt;10000,9999,
IF(D67&lt;15000,14999,
IF(D67&lt;20000,19999,
IF(D67&lt;25000,24999,
IF(D67&lt;30000,29999,
IF(D67&lt;35000,34999,
50000)))))))</f>
        <v>5000</v>
      </c>
      <c r="C121" s="1">
        <f>IF(L68&lt;=36,2,
IF(L68&lt;=59,3,4))</f>
        <v>2</v>
      </c>
      <c r="D121" s="152">
        <f>VLOOKUP(B121,'Rate Tables'!B8:E15,'Master Checklist'!C121)</f>
        <v>0.16639999999999999</v>
      </c>
      <c r="E121" s="152">
        <f>VLOOKUP(B121,'Rate Tables'!G8:J15,'Master Checklist'!C121)</f>
        <v>0.1699</v>
      </c>
      <c r="F121" s="152">
        <f>VLOOKUP(B121,'Rate Tables'!L8:O15,'Master Checklist'!C121)</f>
        <v>0.1739</v>
      </c>
      <c r="G121" s="152">
        <f>VLOOKUP(B121,'Rate Tables'!B25:E32,'Master Checklist'!C121)</f>
        <v>0.18140000000000001</v>
      </c>
      <c r="H121" s="152">
        <f>VLOOKUP(B121,'Rate Tables'!G25:J32,'Master Checklist'!C121)</f>
        <v>0.18390000000000001</v>
      </c>
      <c r="I121" s="1" t="e">
        <f>IF(L21&lt;=630,5,
IF(L21&lt;=660,4,
IF(L21&lt;=699,3,
IF(L21&lt;=749,2,1))))</f>
        <v>#DIV/0!</v>
      </c>
      <c r="J121" s="152" t="e">
        <f>IF(D67&gt;50000, "Contact CLO", IF(I121=1,D121,
IF(I121=2,E121,
IF(I121=3,F121,
IF(I121=4,G121,H121)))))</f>
        <v>#DIV/0!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</row>
    <row r="122" spans="1:2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 t="s">
        <v>133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</row>
    <row r="123" spans="1:2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52" t="e">
        <f>IF(D67&gt;50000, "Contact CLO", IF(R86="1",D121,
IF(R86="2",E121,
IF(R86="3",F121,
IF(R86="4",G121,H121)))))</f>
        <v>#DIV/0!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</row>
    <row r="124" spans="1:2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</row>
    <row r="125" spans="1:21" x14ac:dyDescent="0.2">
      <c r="A125" s="1"/>
      <c r="B125" t="s">
        <v>134</v>
      </c>
      <c r="C125" t="s">
        <v>135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</row>
    <row r="126" spans="1:21" x14ac:dyDescent="0.2">
      <c r="A126" s="1"/>
      <c r="B126" s="1" t="e">
        <f>IF(R68&lt;&gt;0,R68/N68,J121/N68)</f>
        <v>#DIV/0!</v>
      </c>
      <c r="C126" s="1" t="e">
        <f>IF(R68&lt;&gt;0,R68/N68,J123/N68)</f>
        <v>#DIV/0!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</row>
    <row r="127" spans="1:2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</row>
    <row r="128" spans="1:2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</row>
    <row r="129" spans="1:26" x14ac:dyDescent="0.2">
      <c r="A129" s="1"/>
      <c r="B129" s="1" t="s">
        <v>136</v>
      </c>
      <c r="C129" s="1" t="s">
        <v>137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</row>
    <row r="130" spans="1:26" x14ac:dyDescent="0.2">
      <c r="A130" s="1"/>
      <c r="B130" s="1" t="e">
        <f>PMT(B126,(L68/12)*N68,R64)*-1</f>
        <v>#DIV/0!</v>
      </c>
      <c r="C130" s="1" t="e">
        <f>PMT(C126,(L68/12)*N68,R64)*-1</f>
        <v>#DIV/0!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</row>
    <row r="131" spans="1:26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</row>
    <row r="132" spans="1:26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</row>
    <row r="133" spans="1:26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</row>
    <row r="134" spans="1:26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</row>
    <row r="135" spans="1:26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</row>
    <row r="136" spans="1:26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</row>
    <row r="137" spans="1:26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1:26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</row>
    <row r="139" spans="1:26" x14ac:dyDescent="0.2">
      <c r="A139" s="1" t="s">
        <v>138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</row>
    <row r="140" spans="1:26" x14ac:dyDescent="0.2">
      <c r="A140" s="1" t="s">
        <v>139</v>
      </c>
      <c r="B140" s="1"/>
      <c r="C140" s="1"/>
      <c r="D140" s="1"/>
      <c r="E140" s="1"/>
      <c r="F140" s="311" t="s">
        <v>140</v>
      </c>
      <c r="G140" s="311"/>
      <c r="H140" s="311"/>
      <c r="I140" s="311"/>
      <c r="J140" s="31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X140" s="184" t="s">
        <v>141</v>
      </c>
      <c r="Y140" s="207" t="s">
        <v>142</v>
      </c>
      <c r="Z140" s="154" t="s">
        <v>936</v>
      </c>
    </row>
    <row r="141" spans="1:26" ht="13.5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X141" s="184" t="s">
        <v>143</v>
      </c>
      <c r="Y141" s="207" t="s">
        <v>144</v>
      </c>
      <c r="Z141" s="154" t="s">
        <v>936</v>
      </c>
    </row>
    <row r="142" spans="1:26" ht="13.5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X142" s="184" t="s">
        <v>145</v>
      </c>
      <c r="Y142" s="207" t="s">
        <v>146</v>
      </c>
      <c r="Z142" s="154" t="s">
        <v>936</v>
      </c>
    </row>
    <row r="143" spans="1:26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X143" s="184" t="s">
        <v>147</v>
      </c>
      <c r="Y143" s="207" t="s">
        <v>148</v>
      </c>
      <c r="Z143" s="154" t="s">
        <v>937</v>
      </c>
    </row>
    <row r="144" spans="1:26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X144" s="184" t="s">
        <v>149</v>
      </c>
      <c r="Y144" s="207" t="s">
        <v>150</v>
      </c>
      <c r="Z144" s="154" t="s">
        <v>937</v>
      </c>
    </row>
    <row r="145" spans="1:26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X145" s="184" t="s">
        <v>151</v>
      </c>
      <c r="Y145" s="207" t="s">
        <v>152</v>
      </c>
      <c r="Z145" s="154" t="s">
        <v>937</v>
      </c>
    </row>
    <row r="146" spans="1:26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X146" s="184" t="s">
        <v>153</v>
      </c>
      <c r="Y146" s="207" t="s">
        <v>154</v>
      </c>
      <c r="Z146" s="154" t="s">
        <v>937</v>
      </c>
    </row>
    <row r="147" spans="1:26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X147" s="184" t="s">
        <v>155</v>
      </c>
      <c r="Y147" s="207" t="s">
        <v>156</v>
      </c>
      <c r="Z147" s="154" t="s">
        <v>937</v>
      </c>
    </row>
    <row r="148" spans="1:26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X148" s="184" t="s">
        <v>157</v>
      </c>
      <c r="Y148" s="207" t="s">
        <v>158</v>
      </c>
      <c r="Z148" s="154" t="s">
        <v>938</v>
      </c>
    </row>
    <row r="149" spans="1:26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X149" s="184" t="s">
        <v>159</v>
      </c>
      <c r="Y149" s="207" t="s">
        <v>160</v>
      </c>
      <c r="Z149" s="154" t="s">
        <v>938</v>
      </c>
    </row>
    <row r="150" spans="1:26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X150" s="184" t="s">
        <v>161</v>
      </c>
      <c r="Y150" s="207" t="s">
        <v>162</v>
      </c>
      <c r="Z150" s="154" t="s">
        <v>938</v>
      </c>
    </row>
    <row r="151" spans="1:26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X151" s="184" t="s">
        <v>163</v>
      </c>
      <c r="Y151" s="207" t="s">
        <v>164</v>
      </c>
      <c r="Z151" s="154" t="s">
        <v>938</v>
      </c>
    </row>
    <row r="152" spans="1:26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X152" s="184" t="s">
        <v>165</v>
      </c>
      <c r="Y152" s="210" t="s">
        <v>156</v>
      </c>
      <c r="Z152" s="154" t="s">
        <v>938</v>
      </c>
    </row>
    <row r="153" spans="1:26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X153" s="184" t="s">
        <v>166</v>
      </c>
      <c r="Y153" s="207" t="s">
        <v>167</v>
      </c>
      <c r="Z153" s="154" t="s">
        <v>939</v>
      </c>
    </row>
    <row r="154" spans="1:26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X154" s="184" t="s">
        <v>168</v>
      </c>
      <c r="Y154" s="207" t="s">
        <v>169</v>
      </c>
      <c r="Z154" s="154" t="s">
        <v>939</v>
      </c>
    </row>
    <row r="155" spans="1:26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X155" s="184" t="s">
        <v>170</v>
      </c>
      <c r="Y155" s="207" t="s">
        <v>156</v>
      </c>
      <c r="Z155" s="154" t="s">
        <v>939</v>
      </c>
    </row>
    <row r="156" spans="1:26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X156" s="185" t="s">
        <v>171</v>
      </c>
      <c r="Y156" s="208" t="s">
        <v>172</v>
      </c>
      <c r="Z156" s="154" t="s">
        <v>940</v>
      </c>
    </row>
    <row r="157" spans="1:26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X157" s="185" t="s">
        <v>173</v>
      </c>
      <c r="Y157" s="208" t="s">
        <v>174</v>
      </c>
      <c r="Z157" s="154" t="s">
        <v>940</v>
      </c>
    </row>
    <row r="158" spans="1:26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X158" s="184" t="s">
        <v>175</v>
      </c>
      <c r="Y158" s="207" t="s">
        <v>176</v>
      </c>
      <c r="Z158" s="154" t="s">
        <v>941</v>
      </c>
    </row>
    <row r="159" spans="1:26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X159" s="184" t="s">
        <v>177</v>
      </c>
      <c r="Y159" s="207" t="s">
        <v>146</v>
      </c>
      <c r="Z159" s="154" t="s">
        <v>941</v>
      </c>
    </row>
    <row r="160" spans="1:26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X160" s="184" t="s">
        <v>178</v>
      </c>
      <c r="Y160" s="207" t="s">
        <v>179</v>
      </c>
      <c r="Z160" s="154" t="s">
        <v>942</v>
      </c>
    </row>
    <row r="161" spans="1:26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X161" s="184" t="s">
        <v>180</v>
      </c>
      <c r="Y161" s="207" t="s">
        <v>181</v>
      </c>
      <c r="Z161" s="154" t="s">
        <v>942</v>
      </c>
    </row>
    <row r="162" spans="1:26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X162" s="184" t="s">
        <v>182</v>
      </c>
      <c r="Y162" s="207" t="s">
        <v>146</v>
      </c>
      <c r="Z162" s="154" t="s">
        <v>942</v>
      </c>
    </row>
    <row r="163" spans="1:26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X163" s="183"/>
      <c r="Y163" s="209"/>
    </row>
    <row r="164" spans="1:26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X164" s="183"/>
      <c r="Y164" s="209"/>
    </row>
    <row r="165" spans="1:26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</row>
    <row r="166" spans="1:26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</row>
    <row r="167" spans="1:26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</row>
    <row r="168" spans="1:26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</row>
    <row r="169" spans="1:26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</row>
    <row r="170" spans="1:26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</row>
    <row r="171" spans="1:26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</row>
    <row r="172" spans="1:26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</row>
    <row r="173" spans="1:26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</row>
    <row r="174" spans="1:26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</row>
    <row r="175" spans="1:26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</row>
    <row r="176" spans="1:26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</row>
    <row r="177" spans="1:2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</row>
    <row r="178" spans="1:2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</row>
    <row r="179" spans="1:2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</row>
    <row r="180" spans="1:2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</row>
    <row r="181" spans="1:2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</row>
    <row r="182" spans="1:2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</row>
    <row r="183" spans="1:2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</row>
    <row r="184" spans="1:2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</row>
    <row r="185" spans="1:2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1:2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</row>
    <row r="187" spans="1:2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</row>
    <row r="188" spans="1:2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</row>
    <row r="189" spans="1:2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</row>
    <row r="190" spans="1:2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</row>
    <row r="191" spans="1:2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</row>
    <row r="192" spans="1:2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</row>
    <row r="193" spans="1:2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</row>
    <row r="194" spans="1:2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</row>
    <row r="195" spans="1:2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</row>
    <row r="196" spans="1:2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</row>
    <row r="197" spans="1:2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</row>
    <row r="198" spans="1:2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</row>
    <row r="199" spans="1:2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</row>
    <row r="200" spans="1:2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</row>
    <row r="201" spans="1:2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</row>
    <row r="202" spans="1:2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</row>
    <row r="203" spans="1:2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</row>
    <row r="204" spans="1:2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</row>
    <row r="205" spans="1:2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</row>
    <row r="206" spans="1:2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</row>
    <row r="207" spans="1:2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</row>
    <row r="208" spans="1:2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</row>
    <row r="209" spans="1:2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</row>
    <row r="210" spans="1:2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</row>
    <row r="211" spans="1:2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</row>
    <row r="212" spans="1:2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</row>
    <row r="213" spans="1:2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</row>
    <row r="214" spans="1:2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</row>
    <row r="215" spans="1:2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</row>
    <row r="216" spans="1:2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</row>
    <row r="217" spans="1:2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</row>
    <row r="218" spans="1:2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</row>
    <row r="219" spans="1:2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</row>
    <row r="220" spans="1:2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</row>
    <row r="221" spans="1:2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</row>
    <row r="222" spans="1:2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</row>
    <row r="223" spans="1:2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</row>
    <row r="224" spans="1:2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</row>
    <row r="225" spans="1:2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</row>
    <row r="226" spans="1:2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</row>
    <row r="227" spans="1:2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</row>
    <row r="228" spans="1:2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</row>
    <row r="229" spans="1:2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</row>
    <row r="230" spans="1:2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</row>
    <row r="231" spans="1:2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</row>
    <row r="232" spans="1:2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</row>
    <row r="233" spans="1:2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1:2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</row>
    <row r="235" spans="1:2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</row>
    <row r="236" spans="1:2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</row>
    <row r="237" spans="1:2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</row>
    <row r="238" spans="1:2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</row>
    <row r="239" spans="1:2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</row>
    <row r="240" spans="1:2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</row>
    <row r="241" spans="1:2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</row>
    <row r="242" spans="1:2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</row>
    <row r="243" spans="1:2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</row>
    <row r="244" spans="1:2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</row>
    <row r="245" spans="1:2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</row>
    <row r="246" spans="1:2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</row>
    <row r="247" spans="1:2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</row>
    <row r="248" spans="1:2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</row>
    <row r="249" spans="1:2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</row>
    <row r="250" spans="1:2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</row>
    <row r="251" spans="1:2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</row>
    <row r="252" spans="1:2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</row>
    <row r="253" spans="1:2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</row>
    <row r="254" spans="1:2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</row>
    <row r="255" spans="1:2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</row>
    <row r="256" spans="1:2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</row>
    <row r="257" spans="1:2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</row>
    <row r="258" spans="1:2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</row>
    <row r="259" spans="1:2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</row>
    <row r="260" spans="1:2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</row>
    <row r="261" spans="1:2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</row>
    <row r="262" spans="1:2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</row>
    <row r="263" spans="1:2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</row>
    <row r="264" spans="1:21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</row>
    <row r="265" spans="1:21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</row>
    <row r="266" spans="1:21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</row>
  </sheetData>
  <sheetProtection selectLockedCells="1"/>
  <mergeCells count="442">
    <mergeCell ref="L79:N79"/>
    <mergeCell ref="A81:C81"/>
    <mergeCell ref="X73:AA73"/>
    <mergeCell ref="M74:S74"/>
    <mergeCell ref="O79:Q79"/>
    <mergeCell ref="R58:U58"/>
    <mergeCell ref="T79:U79"/>
    <mergeCell ref="D80:E80"/>
    <mergeCell ref="O80:Q80"/>
    <mergeCell ref="R68:U68"/>
    <mergeCell ref="A67:C67"/>
    <mergeCell ref="G67:H67"/>
    <mergeCell ref="A76:U76"/>
    <mergeCell ref="H71:U71"/>
    <mergeCell ref="A78:C78"/>
    <mergeCell ref="D79:E79"/>
    <mergeCell ref="F80:H80"/>
    <mergeCell ref="D72:F72"/>
    <mergeCell ref="G72:I72"/>
    <mergeCell ref="G73:I73"/>
    <mergeCell ref="R80:S80"/>
    <mergeCell ref="L80:N80"/>
    <mergeCell ref="A79:C79"/>
    <mergeCell ref="L68:M68"/>
    <mergeCell ref="R78:S78"/>
    <mergeCell ref="T82:U82"/>
    <mergeCell ref="F78:H78"/>
    <mergeCell ref="T85:U85"/>
    <mergeCell ref="T81:U81"/>
    <mergeCell ref="T74:U74"/>
    <mergeCell ref="M73:Q73"/>
    <mergeCell ref="A72:C72"/>
    <mergeCell ref="O69:Q69"/>
    <mergeCell ref="J69:K69"/>
    <mergeCell ref="L69:M69"/>
    <mergeCell ref="R69:U69"/>
    <mergeCell ref="A80:C80"/>
    <mergeCell ref="F79:H79"/>
    <mergeCell ref="A74:I74"/>
    <mergeCell ref="A75:U75"/>
    <mergeCell ref="D73:F73"/>
    <mergeCell ref="A71:G71"/>
    <mergeCell ref="J73:L73"/>
    <mergeCell ref="D81:E81"/>
    <mergeCell ref="T80:U80"/>
    <mergeCell ref="R81:S81"/>
    <mergeCell ref="O81:Q81"/>
    <mergeCell ref="I81:K81"/>
    <mergeCell ref="L81:N81"/>
    <mergeCell ref="K93:T93"/>
    <mergeCell ref="B93:J93"/>
    <mergeCell ref="T84:U84"/>
    <mergeCell ref="P84:S84"/>
    <mergeCell ref="N84:O84"/>
    <mergeCell ref="N85:S85"/>
    <mergeCell ref="A84:M86"/>
    <mergeCell ref="B90:J90"/>
    <mergeCell ref="A87:U87"/>
    <mergeCell ref="A69:I69"/>
    <mergeCell ref="A54:D54"/>
    <mergeCell ref="A73:C73"/>
    <mergeCell ref="L82:N82"/>
    <mergeCell ref="D78:E78"/>
    <mergeCell ref="A58:F58"/>
    <mergeCell ref="K58:Q58"/>
    <mergeCell ref="K59:Q59"/>
    <mergeCell ref="N83:O83"/>
    <mergeCell ref="D82:E82"/>
    <mergeCell ref="I80:K80"/>
    <mergeCell ref="F81:H81"/>
    <mergeCell ref="F82:H82"/>
    <mergeCell ref="O82:Q82"/>
    <mergeCell ref="I82:K82"/>
    <mergeCell ref="A83:M83"/>
    <mergeCell ref="A82:C82"/>
    <mergeCell ref="A77:U77"/>
    <mergeCell ref="R72:U72"/>
    <mergeCell ref="I78:K78"/>
    <mergeCell ref="L78:N78"/>
    <mergeCell ref="R79:S79"/>
    <mergeCell ref="J74:L74"/>
    <mergeCell ref="R82:S82"/>
    <mergeCell ref="I79:K79"/>
    <mergeCell ref="N105:O105"/>
    <mergeCell ref="E105:G105"/>
    <mergeCell ref="P105:U105"/>
    <mergeCell ref="A96:U103"/>
    <mergeCell ref="A104:B104"/>
    <mergeCell ref="J104:K104"/>
    <mergeCell ref="L104:M104"/>
    <mergeCell ref="P104:Q104"/>
    <mergeCell ref="H105:M105"/>
    <mergeCell ref="N86:Q86"/>
    <mergeCell ref="R86:S86"/>
    <mergeCell ref="A95:U95"/>
    <mergeCell ref="K91:T91"/>
    <mergeCell ref="B91:J91"/>
    <mergeCell ref="B92:J92"/>
    <mergeCell ref="K92:T92"/>
    <mergeCell ref="T104:U104"/>
    <mergeCell ref="R104:S104"/>
    <mergeCell ref="K90:T90"/>
    <mergeCell ref="A89:U89"/>
    <mergeCell ref="A88:U88"/>
    <mergeCell ref="N104:O104"/>
    <mergeCell ref="H104:I104"/>
    <mergeCell ref="R73:U73"/>
    <mergeCell ref="J72:L72"/>
    <mergeCell ref="R55:U55"/>
    <mergeCell ref="F68:K68"/>
    <mergeCell ref="A70:U70"/>
    <mergeCell ref="R26:S26"/>
    <mergeCell ref="T26:U26"/>
    <mergeCell ref="T27:U27"/>
    <mergeCell ref="T28:U28"/>
    <mergeCell ref="R27:S27"/>
    <mergeCell ref="D29:E29"/>
    <mergeCell ref="H39:I39"/>
    <mergeCell ref="J39:K39"/>
    <mergeCell ref="R30:S30"/>
    <mergeCell ref="P30:Q30"/>
    <mergeCell ref="N33:O33"/>
    <mergeCell ref="H32:I32"/>
    <mergeCell ref="H31:I31"/>
    <mergeCell ref="T30:U30"/>
    <mergeCell ref="T31:U31"/>
    <mergeCell ref="J30:K30"/>
    <mergeCell ref="J32:K32"/>
    <mergeCell ref="J34:K34"/>
    <mergeCell ref="P31:Q31"/>
    <mergeCell ref="S21:U21"/>
    <mergeCell ref="A14:C14"/>
    <mergeCell ref="D18:G18"/>
    <mergeCell ref="N17:P17"/>
    <mergeCell ref="H17:J17"/>
    <mergeCell ref="N18:Q18"/>
    <mergeCell ref="D17:F17"/>
    <mergeCell ref="O68:Q68"/>
    <mergeCell ref="M72:Q72"/>
    <mergeCell ref="A24:C24"/>
    <mergeCell ref="D24:E24"/>
    <mergeCell ref="H18:K18"/>
    <mergeCell ref="E21:G21"/>
    <mergeCell ref="H25:I25"/>
    <mergeCell ref="P20:Q20"/>
    <mergeCell ref="P34:Q34"/>
    <mergeCell ref="R38:S38"/>
    <mergeCell ref="R32:S32"/>
    <mergeCell ref="P37:Q37"/>
    <mergeCell ref="N38:O38"/>
    <mergeCell ref="J31:K31"/>
    <mergeCell ref="N30:O30"/>
    <mergeCell ref="J33:K33"/>
    <mergeCell ref="P33:Q33"/>
    <mergeCell ref="D28:E28"/>
    <mergeCell ref="H26:I26"/>
    <mergeCell ref="F29:G29"/>
    <mergeCell ref="D26:E26"/>
    <mergeCell ref="F27:G27"/>
    <mergeCell ref="H33:I33"/>
    <mergeCell ref="J26:K26"/>
    <mergeCell ref="R39:S39"/>
    <mergeCell ref="T33:U33"/>
    <mergeCell ref="T34:U34"/>
    <mergeCell ref="P38:Q38"/>
    <mergeCell ref="D33:E33"/>
    <mergeCell ref="N34:O34"/>
    <mergeCell ref="N27:O27"/>
    <mergeCell ref="P28:Q28"/>
    <mergeCell ref="D27:E27"/>
    <mergeCell ref="R42:S42"/>
    <mergeCell ref="D37:E37"/>
    <mergeCell ref="A37:C37"/>
    <mergeCell ref="D41:G41"/>
    <mergeCell ref="F42:G42"/>
    <mergeCell ref="D43:E43"/>
    <mergeCell ref="R40:U40"/>
    <mergeCell ref="H42:I42"/>
    <mergeCell ref="H40:K40"/>
    <mergeCell ref="N40:Q40"/>
    <mergeCell ref="R41:U41"/>
    <mergeCell ref="H43:I43"/>
    <mergeCell ref="T37:U37"/>
    <mergeCell ref="P39:Q39"/>
    <mergeCell ref="T39:U39"/>
    <mergeCell ref="N39:O39"/>
    <mergeCell ref="D39:E39"/>
    <mergeCell ref="F39:G39"/>
    <mergeCell ref="H37:I37"/>
    <mergeCell ref="F37:G37"/>
    <mergeCell ref="R22:U22"/>
    <mergeCell ref="R11:U11"/>
    <mergeCell ref="R12:U12"/>
    <mergeCell ref="R9:U9"/>
    <mergeCell ref="H9:K9"/>
    <mergeCell ref="N9:Q9"/>
    <mergeCell ref="R19:U19"/>
    <mergeCell ref="R10:U10"/>
    <mergeCell ref="H12:K12"/>
    <mergeCell ref="N16:Q16"/>
    <mergeCell ref="H19:K19"/>
    <mergeCell ref="R17:T17"/>
    <mergeCell ref="R18:U18"/>
    <mergeCell ref="R16:U16"/>
    <mergeCell ref="J20:K20"/>
    <mergeCell ref="H20:I20"/>
    <mergeCell ref="T20:U20"/>
    <mergeCell ref="R20:S20"/>
    <mergeCell ref="N20:O20"/>
    <mergeCell ref="H22:K22"/>
    <mergeCell ref="R14:U14"/>
    <mergeCell ref="H14:K14"/>
    <mergeCell ref="N14:Q14"/>
    <mergeCell ref="H16:K16"/>
    <mergeCell ref="N4:Q4"/>
    <mergeCell ref="H13:K13"/>
    <mergeCell ref="H10:K10"/>
    <mergeCell ref="R8:T8"/>
    <mergeCell ref="N13:Q13"/>
    <mergeCell ref="R13:U13"/>
    <mergeCell ref="H11:K11"/>
    <mergeCell ref="N15:Q15"/>
    <mergeCell ref="R15:U15"/>
    <mergeCell ref="N8:P8"/>
    <mergeCell ref="N10:Q10"/>
    <mergeCell ref="H15:K15"/>
    <mergeCell ref="H8:J8"/>
    <mergeCell ref="N11:Q11"/>
    <mergeCell ref="N12:Q12"/>
    <mergeCell ref="L19:M20"/>
    <mergeCell ref="L21:M21"/>
    <mergeCell ref="I21:K21"/>
    <mergeCell ref="O21:Q21"/>
    <mergeCell ref="N19:Q19"/>
    <mergeCell ref="F24:G24"/>
    <mergeCell ref="D13:G13"/>
    <mergeCell ref="D14:G14"/>
    <mergeCell ref="N24:O24"/>
    <mergeCell ref="D20:E20"/>
    <mergeCell ref="D22:G22"/>
    <mergeCell ref="D23:G23"/>
    <mergeCell ref="D16:G16"/>
    <mergeCell ref="D15:G15"/>
    <mergeCell ref="N22:Q22"/>
    <mergeCell ref="P24:Q24"/>
    <mergeCell ref="J24:K24"/>
    <mergeCell ref="H24:I24"/>
    <mergeCell ref="A1:U1"/>
    <mergeCell ref="A2:C2"/>
    <mergeCell ref="D2:G2"/>
    <mergeCell ref="H2:K2"/>
    <mergeCell ref="N2:Q2"/>
    <mergeCell ref="A3:C3"/>
    <mergeCell ref="D3:G3"/>
    <mergeCell ref="H3:K3"/>
    <mergeCell ref="N7:Q7"/>
    <mergeCell ref="D6:G6"/>
    <mergeCell ref="R3:U3"/>
    <mergeCell ref="R4:U4"/>
    <mergeCell ref="N3:Q3"/>
    <mergeCell ref="H4:K4"/>
    <mergeCell ref="R5:U5"/>
    <mergeCell ref="N6:Q6"/>
    <mergeCell ref="R6:U6"/>
    <mergeCell ref="R7:U7"/>
    <mergeCell ref="A7:C7"/>
    <mergeCell ref="R2:U2"/>
    <mergeCell ref="H5:K5"/>
    <mergeCell ref="N5:Q5"/>
    <mergeCell ref="H6:K6"/>
    <mergeCell ref="H7:K7"/>
    <mergeCell ref="D4:G4"/>
    <mergeCell ref="A6:C6"/>
    <mergeCell ref="A5:C5"/>
    <mergeCell ref="D5:G5"/>
    <mergeCell ref="A10:C10"/>
    <mergeCell ref="D10:G10"/>
    <mergeCell ref="A9:C9"/>
    <mergeCell ref="A4:C4"/>
    <mergeCell ref="D12:G12"/>
    <mergeCell ref="A12:C12"/>
    <mergeCell ref="D7:G7"/>
    <mergeCell ref="D8:F8"/>
    <mergeCell ref="A13:C13"/>
    <mergeCell ref="D11:G11"/>
    <mergeCell ref="A11:C11"/>
    <mergeCell ref="D9:G9"/>
    <mergeCell ref="A8:C8"/>
    <mergeCell ref="F30:G30"/>
    <mergeCell ref="F31:G31"/>
    <mergeCell ref="F33:G33"/>
    <mergeCell ref="F34:G34"/>
    <mergeCell ref="D30:E30"/>
    <mergeCell ref="A21:C21"/>
    <mergeCell ref="A17:C17"/>
    <mergeCell ref="A20:C20"/>
    <mergeCell ref="A15:C15"/>
    <mergeCell ref="A16:C16"/>
    <mergeCell ref="A18:C18"/>
    <mergeCell ref="A22:C22"/>
    <mergeCell ref="A19:C19"/>
    <mergeCell ref="F32:G32"/>
    <mergeCell ref="D34:E34"/>
    <mergeCell ref="D31:E31"/>
    <mergeCell ref="A25:C34"/>
    <mergeCell ref="D19:G19"/>
    <mergeCell ref="F20:G20"/>
    <mergeCell ref="T25:U25"/>
    <mergeCell ref="N26:O26"/>
    <mergeCell ref="N29:O29"/>
    <mergeCell ref="R23:U23"/>
    <mergeCell ref="H34:I34"/>
    <mergeCell ref="D32:E32"/>
    <mergeCell ref="D25:E25"/>
    <mergeCell ref="F25:G25"/>
    <mergeCell ref="R25:S25"/>
    <mergeCell ref="P25:Q25"/>
    <mergeCell ref="H30:I30"/>
    <mergeCell ref="F28:G28"/>
    <mergeCell ref="T29:U29"/>
    <mergeCell ref="F26:G26"/>
    <mergeCell ref="P26:Q26"/>
    <mergeCell ref="J29:K29"/>
    <mergeCell ref="N28:O28"/>
    <mergeCell ref="P29:Q29"/>
    <mergeCell ref="R31:S31"/>
    <mergeCell ref="P27:Q27"/>
    <mergeCell ref="R29:S29"/>
    <mergeCell ref="R28:S28"/>
    <mergeCell ref="R34:S34"/>
    <mergeCell ref="H23:K23"/>
    <mergeCell ref="T24:U24"/>
    <mergeCell ref="R24:S24"/>
    <mergeCell ref="H28:I28"/>
    <mergeCell ref="H29:I29"/>
    <mergeCell ref="H27:I27"/>
    <mergeCell ref="J38:K38"/>
    <mergeCell ref="R37:S37"/>
    <mergeCell ref="T32:U32"/>
    <mergeCell ref="J27:K27"/>
    <mergeCell ref="J28:K28"/>
    <mergeCell ref="T38:U38"/>
    <mergeCell ref="J37:K37"/>
    <mergeCell ref="N37:O37"/>
    <mergeCell ref="R33:S33"/>
    <mergeCell ref="A35:U36"/>
    <mergeCell ref="F38:G38"/>
    <mergeCell ref="D38:E38"/>
    <mergeCell ref="A38:C38"/>
    <mergeCell ref="L23:M34"/>
    <mergeCell ref="J25:K25"/>
    <mergeCell ref="N25:O25"/>
    <mergeCell ref="N32:O32"/>
    <mergeCell ref="N31:O31"/>
    <mergeCell ref="P32:Q32"/>
    <mergeCell ref="A23:C23"/>
    <mergeCell ref="G58:H58"/>
    <mergeCell ref="P54:Q54"/>
    <mergeCell ref="H38:I38"/>
    <mergeCell ref="P42:Q42"/>
    <mergeCell ref="A45:U45"/>
    <mergeCell ref="H46:K46"/>
    <mergeCell ref="N46:Q46"/>
    <mergeCell ref="E50:U50"/>
    <mergeCell ref="C50:D50"/>
    <mergeCell ref="A46:C46"/>
    <mergeCell ref="D46:G46"/>
    <mergeCell ref="G57:H57"/>
    <mergeCell ref="R57:U57"/>
    <mergeCell ref="A57:F57"/>
    <mergeCell ref="E54:F54"/>
    <mergeCell ref="A51:B51"/>
    <mergeCell ref="G54:J54"/>
    <mergeCell ref="C51:D51"/>
    <mergeCell ref="H44:K44"/>
    <mergeCell ref="R44:U44"/>
    <mergeCell ref="M54:N54"/>
    <mergeCell ref="A52:U52"/>
    <mergeCell ref="A53:U53"/>
    <mergeCell ref="K54:L54"/>
    <mergeCell ref="R54:U54"/>
    <mergeCell ref="A43:C43"/>
    <mergeCell ref="A48:U48"/>
    <mergeCell ref="R46:U46"/>
    <mergeCell ref="A44:C44"/>
    <mergeCell ref="A49:U49"/>
    <mergeCell ref="D44:G44"/>
    <mergeCell ref="F43:G43"/>
    <mergeCell ref="P43:Q43"/>
    <mergeCell ref="J43:K43"/>
    <mergeCell ref="N43:O43"/>
    <mergeCell ref="T43:U43"/>
    <mergeCell ref="A47:U47"/>
    <mergeCell ref="R43:S43"/>
    <mergeCell ref="F140:J140"/>
    <mergeCell ref="I67:K67"/>
    <mergeCell ref="A60:F60"/>
    <mergeCell ref="K60:Q60"/>
    <mergeCell ref="R67:U67"/>
    <mergeCell ref="A59:H59"/>
    <mergeCell ref="G60:H60"/>
    <mergeCell ref="K61:Q61"/>
    <mergeCell ref="O67:Q67"/>
    <mergeCell ref="R64:U64"/>
    <mergeCell ref="L64:Q64"/>
    <mergeCell ref="D67:F67"/>
    <mergeCell ref="E64:F64"/>
    <mergeCell ref="A65:U65"/>
    <mergeCell ref="G62:H62"/>
    <mergeCell ref="K62:Q62"/>
    <mergeCell ref="O78:Q78"/>
    <mergeCell ref="R62:U62"/>
    <mergeCell ref="A64:D64"/>
    <mergeCell ref="R61:U61"/>
    <mergeCell ref="R60:S60"/>
    <mergeCell ref="T60:U60"/>
    <mergeCell ref="A61:F61"/>
    <mergeCell ref="L67:N67"/>
    <mergeCell ref="T59:U59"/>
    <mergeCell ref="R63:U63"/>
    <mergeCell ref="R59:S59"/>
    <mergeCell ref="L63:Q63"/>
    <mergeCell ref="A66:U66"/>
    <mergeCell ref="A68:E68"/>
    <mergeCell ref="G61:H61"/>
    <mergeCell ref="L37:M44"/>
    <mergeCell ref="N44:Q44"/>
    <mergeCell ref="A56:U56"/>
    <mergeCell ref="K57:Q57"/>
    <mergeCell ref="C55:D55"/>
    <mergeCell ref="J42:K42"/>
    <mergeCell ref="T42:U42"/>
    <mergeCell ref="A62:F62"/>
    <mergeCell ref="N42:O42"/>
    <mergeCell ref="A42:C42"/>
    <mergeCell ref="A39:C41"/>
    <mergeCell ref="N41:Q41"/>
    <mergeCell ref="H41:K41"/>
    <mergeCell ref="D40:G40"/>
    <mergeCell ref="D42:E42"/>
    <mergeCell ref="A50:B50"/>
    <mergeCell ref="E51:U51"/>
  </mergeCells>
  <phoneticPr fontId="11" type="noConversion"/>
  <dataValidations xWindow="101" yWindow="902" count="38">
    <dataValidation type="list" showInputMessage="1" sqref="D5:K5 N5:U5" xr:uid="{FFA9711C-9DDC-4A38-8D12-CA47E55A3CB1}">
      <formula1>Zip</formula1>
    </dataValidation>
    <dataValidation type="list" allowBlank="1" showInputMessage="1" showErrorMessage="1" sqref="R17:T17 D17:F17 H17:J17 N17:P17 D8:F8 H8:J8 N8:P8 R8:T8" xr:uid="{0CD39322-1F8B-4915-ADE8-6E3EA77A4886}">
      <formula1>lo</formula1>
    </dataValidation>
    <dataValidation type="list" showInputMessage="1" sqref="D18:K18 N18:U18" xr:uid="{E5C4540D-69E0-4EC9-B4AF-3A37C4A94E69}">
      <formula1>deposits</formula1>
    </dataValidation>
    <dataValidation type="list" allowBlank="1" showInputMessage="1" sqref="D19:K19 N19:U19" xr:uid="{CDB02671-FAEE-47F1-BE60-98190BEDAAFF}">
      <formula1>loans</formula1>
    </dataValidation>
    <dataValidation type="list" allowBlank="1" sqref="D25:E34 H26:I34 N26:O34 R26:S34" xr:uid="{D6569479-7ED1-4AEE-957D-B1074B25A66B}">
      <formula1>debts</formula1>
    </dataValidation>
    <dataValidation type="list" allowBlank="1" showInputMessage="1" showErrorMessage="1" prompt="How often paid?  Make sure average hours reflects the entire pay period.  ie. paid every other week - should reflect the 80 hours for that pay period." sqref="D40:K40 N40:U40" xr:uid="{39181000-1A79-4010-B757-D4FF0F97109C}">
      <formula1>method</formula1>
    </dataValidation>
    <dataValidation type="list" allowBlank="1" showInputMessage="1" sqref="R55:U55" xr:uid="{6612205E-E505-4EC3-95CC-8B59EF91BC09}">
      <formula1>denial</formula1>
    </dataValidation>
    <dataValidation allowBlank="1" showInputMessage="1" prompt="Score" sqref="D21:D22 H21:H22 N21:N22 R21:R22" xr:uid="{24014E36-A678-46AE-A275-AC828E0FCCF4}"/>
    <dataValidation allowBlank="1" showInputMessage="1" showErrorMessage="1" prompt="Date of Score" sqref="S21 O21" xr:uid="{3FABEB63-0C3F-4F23-BB98-28A7B41ABCD3}"/>
    <dataValidation type="list" allowBlank="1" showInputMessage="1" sqref="R59:S59" xr:uid="{0689F8A9-08B7-4899-B1D0-AA785FDB7CDE}">
      <formula1>Branch</formula1>
    </dataValidation>
    <dataValidation type="list" errorStyle="warning" showInputMessage="1" showErrorMessage="1" error="Purpose needs entered." sqref="F68:K68" xr:uid="{D5CFA7BF-117D-4B12-8053-7040D3387CE9}">
      <formula1>Purpose</formula1>
    </dataValidation>
    <dataValidation type="list" showInputMessage="1" prompt="Call Report Code" sqref="A69" xr:uid="{74A14083-068D-4653-B50D-88B63A64ED3C}">
      <formula1>Call</formula1>
    </dataValidation>
    <dataValidation type="list" allowBlank="1" showInputMessage="1" sqref="D73:F73" xr:uid="{7C1567A5-9F62-4E01-99A3-67686BFA0947}">
      <formula1>source</formula1>
    </dataValidation>
    <dataValidation type="list" showInputMessage="1" sqref="M73:Q73" xr:uid="{AB9EEAAE-737B-4095-8B67-A0B06D0D5BE0}">
      <formula1>Collat</formula1>
    </dataValidation>
    <dataValidation type="list" showInputMessage="1" sqref="R73:U73" xr:uid="{EC816386-74A5-4223-B006-6E9A41BE85C7}">
      <formula1>ltvx</formula1>
    </dataValidation>
    <dataValidation type="list" showInputMessage="1" showErrorMessage="1" sqref="T74:U74" xr:uid="{A6777326-E263-454B-9A76-0C0859111EFF}">
      <formula1>yes</formula1>
    </dataValidation>
    <dataValidation type="list" allowBlank="1" showInputMessage="1" showErrorMessage="1" sqref="X64:Y64 R63:U63" xr:uid="{00000000-0002-0000-0000-000011000000}">
      <formula1>APPCODE</formula1>
    </dataValidation>
    <dataValidation type="list" allowBlank="1" showInputMessage="1" sqref="D42:E43 H42:I43 N42:O43 R42:S43" xr:uid="{7E72503C-745C-46DC-A7AF-D8F0DC48639A}">
      <formula1>othincome</formula1>
    </dataValidation>
    <dataValidation type="list" allowBlank="1" showInputMessage="1" prompt="Does customer have valid ID on file?" sqref="D7:K7 N7:U7" xr:uid="{7589269D-CA49-4194-A98B-D6584CFFB566}">
      <formula1>yes</formula1>
    </dataValidation>
    <dataValidation type="list" allowBlank="1" showInputMessage="1" prompt="Exception approval levels" sqref="H105:M105" xr:uid="{915D3F59-14D8-46DD-97F1-66F149F57555}">
      <formula1>exceptionapp</formula1>
    </dataValidation>
    <dataValidation allowBlank="1" showInputMessage="1" showErrorMessage="1" prompt="Input Year Became a Customer - Leave blank if not a current customer." sqref="D20:E20 R20:S20 N20:O20 H20:I20" xr:uid="{3D494731-4477-43A0-B657-0EB79E4F06BD}"/>
    <dataValidation type="list" allowBlank="1" showInputMessage="1" showErrorMessage="1" prompt="Do Bankruptcy or Judgments exist on credit for any borrower on this request within the last 5 years?" sqref="F20:G20" xr:uid="{9E66F6B6-3423-4F7D-88E6-C2F483678F82}">
      <formula1>yes</formula1>
    </dataValidation>
    <dataValidation allowBlank="1" showInputMessage="1" showErrorMessage="1" prompt="Borrower 1 - Sex" sqref="L3" xr:uid="{3E218D16-A0A8-47C5-B058-919B061A59BD}"/>
    <dataValidation allowBlank="1" showInputMessage="1" showErrorMessage="1" prompt="Borrower 2 - Sex" sqref="M3" xr:uid="{B71EE530-7A3F-456F-96E0-6BC36946AEE9}"/>
    <dataValidation allowBlank="1" showInputMessage="1" showErrorMessage="1" prompt="Borrower 1 - Married(M), Unmarried(U)_x000a_" sqref="L4" xr:uid="{E9B84E69-FB85-4D8B-BFC0-89A56ACFB8D5}"/>
    <dataValidation allowBlank="1" showInputMessage="1" showErrorMessage="1" prompt="Borrower 2 - Married(M), Unmarried(U)_x000a_" sqref="M4" xr:uid="{40D00223-6DF1-46B8-9BB9-3C2F674D5D09}"/>
    <dataValidation type="list" allowBlank="1" showInputMessage="1" showErrorMessage="1" prompt="Is this a purchase money loan?" sqref="G73:I73" xr:uid="{0AB41BC2-F09C-4A77-86EA-780AEE2EE5F8}">
      <formula1>yes</formula1>
    </dataValidation>
    <dataValidation type="list" allowBlank="1" showInputMessage="1" prompt="Are any borrower's active service members?" sqref="J20:K20" xr:uid="{7499B11E-1E96-423E-8509-E523BC7A69DF}">
      <formula1>yes</formula1>
    </dataValidation>
    <dataValidation allowBlank="1" showInputMessage="1" showErrorMessage="1" prompt="_x000a__x000a_" sqref="N68" xr:uid="{4D6B1EDD-C5F1-42D7-B754-F114CE637296}"/>
    <dataValidation type="list" allowBlank="1" showInputMessage="1" showErrorMessage="1" prompt="Do customers own or rent?" sqref="D9:K9 N9:U9" xr:uid="{075F1F21-3B22-4095-BE40-BC2396D44EE1}">
      <formula1>housing</formula1>
    </dataValidation>
    <dataValidation type="list" allowBlank="1" showInputMessage="1" showErrorMessage="1" sqref="L69:M69" xr:uid="{F1719969-1032-475F-9188-2915AE592CE5}">
      <formula1>Ratex</formula1>
    </dataValidation>
    <dataValidation type="list" allowBlank="1" showInputMessage="1" showErrorMessage="1" sqref="J69:K69" xr:uid="{6A39C629-8455-4567-8CB5-2ECC4D83110A}">
      <formula1>Termx</formula1>
    </dataValidation>
    <dataValidation allowBlank="1" showErrorMessage="1" sqref="X73:AA73 R69:U69" xr:uid="{10BDBAC1-436F-4E94-BABE-7732013391E7}"/>
    <dataValidation allowBlank="1" showInputMessage="1" showErrorMessage="1" prompt="_x000a_" sqref="O106" xr:uid="{9157168F-EC5D-4694-9B09-00CFD833F9A1}"/>
    <dataValidation type="list" allowBlank="1" showInputMessage="1" prompt="Only list debts not already listed on borrowers debts.  If you list again debt to income will be miscalculated" sqref="H25:I25" xr:uid="{C58997B7-6349-465B-A129-F1EBA9482FDA}">
      <formula1>debts</formula1>
    </dataValidation>
    <dataValidation type="list" allowBlank="1" showInputMessage="1" prompt="Only list debts not already listed on borrowers debts.  If you list again debt to income will be miscalculated." sqref="N25:O25 R25:S25" xr:uid="{4AD9C7EE-6ED6-4DA1-9AC8-5C7CA2FC7848}">
      <formula1>debts</formula1>
    </dataValidation>
    <dataValidation allowBlank="1" showErrorMessage="1" prompt="_x000a_" sqref="L68:M68" xr:uid="{D9BCA51E-F9EC-40EF-8806-A8D5F9109E5B}"/>
    <dataValidation type="list" allowBlank="1" showInputMessage="1" showErrorMessage="1" errorTitle="Mitigating Factors" error="Factors must be selected from the drop down.  If not on list, further explanation is required." promptTitle="Mitigating Factors" prompt="Select a mitigating factor for Exceptions 2,3,5,7,8,9, &amp; 10.  All other exceptions require and explanation in officer comments." sqref="A107:U107" xr:uid="{A73AE032-0766-4062-B08C-E874A49E65F8}">
      <formula1>Mitigating_Factors</formula1>
    </dataValidation>
  </dataValidations>
  <hyperlinks>
    <hyperlink ref="F140" r:id="rId1" xr:uid="{456C0EE9-F66A-4F0C-B11C-A8AC17D90254}"/>
  </hyperlinks>
  <pageMargins left="0.75" right="0.75" top="0.75" bottom="0.25" header="0.25" footer="0.25"/>
  <pageSetup scale="97" fitToHeight="0" orientation="portrait" r:id="rId2"/>
  <headerFooter alignWithMargins="0">
    <oddHeader>&amp;CHOOSIER HEARTLAND STATE BANK
File Checklist/Grading Sheet</oddHeader>
  </headerFooter>
  <rowBreaks count="1" manualBreakCount="1">
    <brk id="56" max="16383" man="1"/>
  </rowBreaks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xWindow="101" yWindow="902" count="2">
        <x14:dataValidation type="list" allowBlank="1" showInputMessage="1" showErrorMessage="1" xr:uid="{FD2EA1DC-28DE-49C5-9408-40C04DECEEE5}">
          <x14:formula1>
            <xm:f>'Data - do not edit'!$P$2:$P$17</xm:f>
          </x14:formula1>
          <xm:sqref>T59:U59</xm:sqref>
        </x14:dataValidation>
        <x14:dataValidation type="list" allowBlank="1" showInputMessage="1" xr:uid="{9B6508A4-6399-4C94-B490-9921FAE2A299}">
          <x14:formula1>
            <xm:f>'Data - do not edit'!$Q$2:$Q$7</xm:f>
          </x14:formula1>
          <xm:sqref>R60:S60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 tint="0.39997558519241921"/>
  </sheetPr>
  <dimension ref="A1:K47"/>
  <sheetViews>
    <sheetView showWhiteSpace="0" view="pageLayout" topLeftCell="A29" zoomScaleNormal="100" workbookViewId="0">
      <selection activeCell="I46" sqref="I46:K46"/>
    </sheetView>
  </sheetViews>
  <sheetFormatPr defaultColWidth="9.140625" defaultRowHeight="15" x14ac:dyDescent="0.25"/>
  <cols>
    <col min="1" max="1" width="2.5703125" style="61" customWidth="1"/>
    <col min="2" max="2" width="11.140625" style="61" customWidth="1"/>
    <col min="3" max="3" width="5.42578125" style="61" customWidth="1"/>
    <col min="4" max="4" width="9.140625" style="61"/>
    <col min="5" max="5" width="13" style="61" customWidth="1"/>
    <col min="6" max="6" width="7.28515625" style="61" customWidth="1"/>
    <col min="7" max="7" width="11" style="61" customWidth="1"/>
    <col min="8" max="8" width="9.140625" style="61"/>
    <col min="9" max="9" width="6.42578125" style="61" customWidth="1"/>
    <col min="10" max="10" width="7.28515625" style="61" customWidth="1"/>
    <col min="11" max="11" width="6.42578125" style="61" customWidth="1"/>
    <col min="12" max="16384" width="9.140625" style="61"/>
  </cols>
  <sheetData>
    <row r="1" spans="1:11" ht="17.25" customHeight="1" x14ac:dyDescent="0.25">
      <c r="A1" s="522" t="s">
        <v>183</v>
      </c>
      <c r="B1" s="522"/>
      <c r="C1" s="522"/>
      <c r="D1" s="522"/>
      <c r="E1" s="522"/>
      <c r="F1" s="522"/>
      <c r="G1" s="522"/>
      <c r="H1" s="522"/>
      <c r="I1" s="522"/>
      <c r="J1" s="522"/>
      <c r="K1" s="522"/>
    </row>
    <row r="2" spans="1:11" x14ac:dyDescent="0.25">
      <c r="A2" s="62" t="s">
        <v>184</v>
      </c>
      <c r="B2" s="523" t="s">
        <v>185</v>
      </c>
      <c r="C2" s="524"/>
      <c r="D2" s="524"/>
      <c r="E2" s="524"/>
      <c r="F2" s="524"/>
      <c r="G2" s="524"/>
      <c r="H2" s="524"/>
      <c r="I2" s="524"/>
      <c r="J2" s="524"/>
      <c r="K2" s="525"/>
    </row>
    <row r="3" spans="1:11" x14ac:dyDescent="0.25">
      <c r="A3" s="526" t="s">
        <v>186</v>
      </c>
      <c r="B3" s="526"/>
      <c r="C3" s="530" t="str">
        <f>'Master Checklist'!D3</f>
        <v/>
      </c>
      <c r="D3" s="531"/>
      <c r="E3" s="531"/>
      <c r="F3" s="531"/>
      <c r="G3" s="527" t="str">
        <f>'Master Checklist'!H3</f>
        <v/>
      </c>
      <c r="H3" s="527"/>
      <c r="I3" s="527"/>
      <c r="J3" s="527"/>
      <c r="K3" s="527"/>
    </row>
    <row r="4" spans="1:11" x14ac:dyDescent="0.25">
      <c r="A4" s="526" t="s">
        <v>187</v>
      </c>
      <c r="B4" s="526"/>
      <c r="C4" s="527">
        <f>'Master Checklist'!T59</f>
        <v>0</v>
      </c>
      <c r="D4" s="527"/>
      <c r="E4" s="527"/>
      <c r="F4" s="62" t="s">
        <v>188</v>
      </c>
      <c r="G4" s="63">
        <f>'Master Checklist'!R59</f>
        <v>0</v>
      </c>
      <c r="H4" s="528" t="s">
        <v>189</v>
      </c>
      <c r="I4" s="528"/>
      <c r="J4" s="529"/>
      <c r="K4" s="529"/>
    </row>
    <row r="5" spans="1:11" x14ac:dyDescent="0.25">
      <c r="A5" s="532" t="s">
        <v>190</v>
      </c>
      <c r="B5" s="532"/>
      <c r="C5" s="532"/>
      <c r="D5" s="533">
        <f>'Master Checklist'!D67</f>
        <v>0</v>
      </c>
      <c r="E5" s="534"/>
      <c r="F5" s="62" t="s">
        <v>191</v>
      </c>
      <c r="G5" s="148"/>
      <c r="H5" s="528" t="s">
        <v>192</v>
      </c>
      <c r="I5" s="528"/>
      <c r="J5" s="535"/>
      <c r="K5" s="536"/>
    </row>
    <row r="6" spans="1:11" x14ac:dyDescent="0.25">
      <c r="A6" s="537" t="s">
        <v>193</v>
      </c>
      <c r="B6" s="538"/>
      <c r="C6" s="539"/>
      <c r="D6" s="527">
        <f>'Master Checklist'!R60</f>
        <v>0</v>
      </c>
      <c r="E6" s="527"/>
      <c r="F6" s="62" t="s">
        <v>194</v>
      </c>
      <c r="G6" s="62">
        <f>'Master Checklist'!T60</f>
        <v>0</v>
      </c>
      <c r="H6" s="528" t="s">
        <v>195</v>
      </c>
      <c r="I6" s="528"/>
      <c r="J6" s="536">
        <v>4</v>
      </c>
      <c r="K6" s="536"/>
    </row>
    <row r="7" spans="1:11" x14ac:dyDescent="0.25">
      <c r="A7" s="540" t="s">
        <v>196</v>
      </c>
      <c r="B7" s="540"/>
      <c r="C7" s="541"/>
      <c r="D7" s="542"/>
      <c r="E7" s="542"/>
      <c r="F7" s="542"/>
      <c r="G7" s="542"/>
      <c r="H7" s="542"/>
      <c r="I7" s="542"/>
      <c r="J7" s="542"/>
      <c r="K7" s="542"/>
    </row>
    <row r="8" spans="1:11" x14ac:dyDescent="0.25">
      <c r="A8" s="540"/>
      <c r="B8" s="540"/>
      <c r="C8" s="542"/>
      <c r="D8" s="542"/>
      <c r="E8" s="542"/>
      <c r="F8" s="542"/>
      <c r="G8" s="542"/>
      <c r="H8" s="542"/>
      <c r="I8" s="542"/>
      <c r="J8" s="542"/>
      <c r="K8" s="542"/>
    </row>
    <row r="9" spans="1:11" x14ac:dyDescent="0.25">
      <c r="A9" s="540" t="s">
        <v>197</v>
      </c>
      <c r="B9" s="540"/>
      <c r="C9" s="541"/>
      <c r="D9" s="542"/>
      <c r="E9" s="542"/>
      <c r="F9" s="542"/>
      <c r="G9" s="542"/>
      <c r="H9" s="542"/>
      <c r="I9" s="542"/>
      <c r="J9" s="542"/>
      <c r="K9" s="542"/>
    </row>
    <row r="10" spans="1:11" x14ac:dyDescent="0.25">
      <c r="A10" s="540"/>
      <c r="B10" s="540"/>
      <c r="C10" s="542"/>
      <c r="D10" s="542"/>
      <c r="E10" s="542"/>
      <c r="F10" s="542"/>
      <c r="G10" s="542"/>
      <c r="H10" s="542"/>
      <c r="I10" s="542"/>
      <c r="J10" s="542"/>
      <c r="K10" s="542"/>
    </row>
    <row r="11" spans="1:11" x14ac:dyDescent="0.25">
      <c r="A11" s="526" t="s">
        <v>198</v>
      </c>
      <c r="B11" s="526"/>
      <c r="C11" s="543"/>
      <c r="D11" s="544"/>
      <c r="E11" s="544"/>
      <c r="F11" s="544"/>
      <c r="G11" s="211" t="s">
        <v>199</v>
      </c>
      <c r="H11" s="543"/>
      <c r="I11" s="544"/>
      <c r="J11" s="544"/>
      <c r="K11" s="544"/>
    </row>
    <row r="12" spans="1:11" x14ac:dyDescent="0.25">
      <c r="A12" s="540" t="s">
        <v>200</v>
      </c>
      <c r="B12" s="540"/>
      <c r="C12" s="545"/>
      <c r="D12" s="546"/>
      <c r="E12" s="546"/>
      <c r="F12" s="546"/>
      <c r="G12" s="546"/>
      <c r="H12" s="62" t="s">
        <v>201</v>
      </c>
      <c r="I12" s="544"/>
      <c r="J12" s="544"/>
      <c r="K12" s="544"/>
    </row>
    <row r="13" spans="1:11" x14ac:dyDescent="0.25">
      <c r="A13" s="540"/>
      <c r="B13" s="540"/>
      <c r="C13" s="546"/>
      <c r="D13" s="546"/>
      <c r="E13" s="546"/>
      <c r="F13" s="546"/>
      <c r="G13" s="546"/>
      <c r="H13" s="547"/>
      <c r="I13" s="547"/>
      <c r="J13" s="547"/>
      <c r="K13" s="547"/>
    </row>
    <row r="14" spans="1:11" ht="15" customHeight="1" x14ac:dyDescent="0.25">
      <c r="A14" s="62" t="s">
        <v>202</v>
      </c>
      <c r="B14" s="528" t="s">
        <v>203</v>
      </c>
      <c r="C14" s="528"/>
      <c r="D14" s="528"/>
      <c r="E14" s="528"/>
      <c r="F14" s="528"/>
      <c r="G14" s="528"/>
      <c r="H14" s="528"/>
      <c r="I14" s="528"/>
      <c r="J14" s="528"/>
      <c r="K14" s="528"/>
    </row>
    <row r="15" spans="1:11" x14ac:dyDescent="0.25">
      <c r="A15" s="528" t="s">
        <v>204</v>
      </c>
      <c r="B15" s="528"/>
      <c r="C15" s="528" t="s">
        <v>205</v>
      </c>
      <c r="D15" s="528"/>
      <c r="E15" s="528"/>
      <c r="F15" s="528"/>
      <c r="G15" s="528" t="s">
        <v>206</v>
      </c>
      <c r="H15" s="528"/>
      <c r="I15" s="528"/>
      <c r="J15" s="528"/>
      <c r="K15" s="528"/>
    </row>
    <row r="16" spans="1:11" x14ac:dyDescent="0.25">
      <c r="A16" s="64" t="s">
        <v>207</v>
      </c>
      <c r="B16" s="68" t="str">
        <f>'Master Checklist'!E64</f>
        <v>40</v>
      </c>
      <c r="C16" s="64" t="s">
        <v>208</v>
      </c>
      <c r="D16" s="530">
        <v>621250</v>
      </c>
      <c r="E16" s="531"/>
      <c r="F16" s="548"/>
      <c r="G16" s="549" t="s">
        <v>209</v>
      </c>
      <c r="H16" s="549"/>
      <c r="I16" s="549"/>
      <c r="J16" s="549"/>
      <c r="K16" s="549"/>
    </row>
    <row r="17" spans="1:11" x14ac:dyDescent="0.25">
      <c r="A17" s="64" t="s">
        <v>207</v>
      </c>
      <c r="B17" s="67">
        <f>'Master Checklist'!I67</f>
        <v>0</v>
      </c>
      <c r="C17" s="64" t="s">
        <v>208</v>
      </c>
      <c r="D17" s="63">
        <f>G4</f>
        <v>0</v>
      </c>
      <c r="E17" s="534">
        <v>6340</v>
      </c>
      <c r="F17" s="534"/>
      <c r="G17" s="549" t="s">
        <v>210</v>
      </c>
      <c r="H17" s="549"/>
      <c r="I17" s="549"/>
      <c r="J17" s="549"/>
      <c r="K17" s="549"/>
    </row>
    <row r="18" spans="1:11" x14ac:dyDescent="0.25">
      <c r="A18" s="64" t="s">
        <v>207</v>
      </c>
      <c r="B18" s="187"/>
      <c r="C18" s="64" t="s">
        <v>208</v>
      </c>
      <c r="D18" s="543"/>
      <c r="E18" s="544"/>
      <c r="F18" s="544"/>
      <c r="G18" s="544"/>
      <c r="H18" s="544"/>
      <c r="I18" s="544"/>
      <c r="J18" s="544"/>
      <c r="K18" s="544"/>
    </row>
    <row r="19" spans="1:11" x14ac:dyDescent="0.25">
      <c r="A19" s="64" t="s">
        <v>207</v>
      </c>
      <c r="B19" s="187"/>
      <c r="C19" s="64" t="s">
        <v>208</v>
      </c>
      <c r="D19" s="544"/>
      <c r="E19" s="544"/>
      <c r="F19" s="544"/>
      <c r="G19" s="544"/>
      <c r="H19" s="544"/>
      <c r="I19" s="544"/>
      <c r="J19" s="544"/>
      <c r="K19" s="544"/>
    </row>
    <row r="20" spans="1:11" x14ac:dyDescent="0.25">
      <c r="A20" s="64" t="s">
        <v>207</v>
      </c>
      <c r="B20" s="187"/>
      <c r="C20" s="64" t="s">
        <v>208</v>
      </c>
      <c r="D20" s="544"/>
      <c r="E20" s="544"/>
      <c r="F20" s="544"/>
      <c r="G20" s="544"/>
      <c r="H20" s="544"/>
      <c r="I20" s="544"/>
      <c r="J20" s="544"/>
      <c r="K20" s="544"/>
    </row>
    <row r="21" spans="1:11" x14ac:dyDescent="0.25">
      <c r="A21" s="64" t="s">
        <v>207</v>
      </c>
      <c r="B21" s="187"/>
      <c r="C21" s="64" t="s">
        <v>208</v>
      </c>
      <c r="D21" s="544"/>
      <c r="E21" s="544"/>
      <c r="F21" s="544"/>
      <c r="G21" s="544"/>
      <c r="H21" s="544"/>
      <c r="I21" s="544"/>
      <c r="J21" s="544"/>
      <c r="K21" s="544"/>
    </row>
    <row r="22" spans="1:11" x14ac:dyDescent="0.25">
      <c r="A22" s="64" t="s">
        <v>207</v>
      </c>
      <c r="B22" s="187"/>
      <c r="C22" s="64" t="s">
        <v>208</v>
      </c>
      <c r="D22" s="544"/>
      <c r="E22" s="544"/>
      <c r="F22" s="544"/>
      <c r="G22" s="544"/>
      <c r="H22" s="544"/>
      <c r="I22" s="544"/>
      <c r="J22" s="544"/>
      <c r="K22" s="544"/>
    </row>
    <row r="23" spans="1:11" x14ac:dyDescent="0.25">
      <c r="A23" s="64" t="s">
        <v>207</v>
      </c>
      <c r="B23" s="187"/>
      <c r="C23" s="64" t="s">
        <v>208</v>
      </c>
      <c r="D23" s="544"/>
      <c r="E23" s="544"/>
      <c r="F23" s="544"/>
      <c r="G23" s="544"/>
      <c r="H23" s="544"/>
      <c r="I23" s="544"/>
      <c r="J23" s="544"/>
      <c r="K23" s="544"/>
    </row>
    <row r="24" spans="1:11" x14ac:dyDescent="0.25">
      <c r="A24" s="64" t="s">
        <v>207</v>
      </c>
      <c r="B24" s="187"/>
      <c r="C24" s="64" t="s">
        <v>208</v>
      </c>
      <c r="D24" s="544"/>
      <c r="E24" s="544"/>
      <c r="F24" s="544"/>
      <c r="G24" s="544"/>
      <c r="H24" s="544"/>
      <c r="I24" s="544"/>
      <c r="J24" s="544"/>
      <c r="K24" s="544"/>
    </row>
    <row r="25" spans="1:11" x14ac:dyDescent="0.25">
      <c r="A25" s="64" t="s">
        <v>207</v>
      </c>
      <c r="B25" s="187"/>
      <c r="C25" s="64" t="s">
        <v>208</v>
      </c>
      <c r="D25" s="544"/>
      <c r="E25" s="544"/>
      <c r="F25" s="544"/>
      <c r="G25" s="544"/>
      <c r="H25" s="544"/>
      <c r="I25" s="544"/>
      <c r="J25" s="544"/>
      <c r="K25" s="544"/>
    </row>
    <row r="26" spans="1:11" x14ac:dyDescent="0.25">
      <c r="A26" s="64" t="s">
        <v>207</v>
      </c>
      <c r="B26" s="187"/>
      <c r="C26" s="64" t="s">
        <v>208</v>
      </c>
      <c r="D26" s="544"/>
      <c r="E26" s="544"/>
      <c r="F26" s="544"/>
      <c r="G26" s="544"/>
      <c r="H26" s="544"/>
      <c r="I26" s="544"/>
      <c r="J26" s="544"/>
      <c r="K26" s="544"/>
    </row>
    <row r="27" spans="1:11" x14ac:dyDescent="0.25">
      <c r="A27" s="64" t="s">
        <v>207</v>
      </c>
      <c r="B27" s="71"/>
      <c r="C27" s="64" t="s">
        <v>208</v>
      </c>
      <c r="D27" s="544"/>
      <c r="E27" s="544"/>
      <c r="F27" s="544"/>
      <c r="G27" s="544"/>
      <c r="H27" s="544"/>
      <c r="I27" s="544"/>
      <c r="J27" s="544"/>
      <c r="K27" s="544"/>
    </row>
    <row r="28" spans="1:11" x14ac:dyDescent="0.25">
      <c r="A28" s="64" t="s">
        <v>207</v>
      </c>
      <c r="B28" s="71"/>
      <c r="C28" s="64" t="s">
        <v>208</v>
      </c>
      <c r="D28" s="544"/>
      <c r="E28" s="544"/>
      <c r="F28" s="544"/>
      <c r="G28" s="544"/>
      <c r="H28" s="544"/>
      <c r="I28" s="544"/>
      <c r="J28" s="544"/>
      <c r="K28" s="544"/>
    </row>
    <row r="29" spans="1:11" x14ac:dyDescent="0.25">
      <c r="A29" s="64" t="s">
        <v>207</v>
      </c>
      <c r="B29" s="71"/>
      <c r="C29" s="64" t="s">
        <v>208</v>
      </c>
      <c r="D29" s="544"/>
      <c r="E29" s="544"/>
      <c r="F29" s="544"/>
      <c r="G29" s="544"/>
      <c r="H29" s="544"/>
      <c r="I29" s="544"/>
      <c r="J29" s="544"/>
      <c r="K29" s="544"/>
    </row>
    <row r="30" spans="1:11" x14ac:dyDescent="0.25">
      <c r="A30" s="64" t="s">
        <v>207</v>
      </c>
      <c r="B30" s="71"/>
      <c r="C30" s="64" t="s">
        <v>208</v>
      </c>
      <c r="D30" s="544"/>
      <c r="E30" s="544"/>
      <c r="F30" s="544"/>
      <c r="G30" s="544"/>
      <c r="H30" s="544"/>
      <c r="I30" s="544"/>
      <c r="J30" s="544"/>
      <c r="K30" s="544"/>
    </row>
    <row r="31" spans="1:11" x14ac:dyDescent="0.25">
      <c r="A31" s="64" t="s">
        <v>207</v>
      </c>
      <c r="B31" s="71"/>
      <c r="C31" s="64" t="s">
        <v>208</v>
      </c>
      <c r="D31" s="544"/>
      <c r="E31" s="544"/>
      <c r="F31" s="544"/>
      <c r="G31" s="544"/>
      <c r="H31" s="544"/>
      <c r="I31" s="544"/>
      <c r="J31" s="544"/>
      <c r="K31" s="544"/>
    </row>
    <row r="32" spans="1:11" x14ac:dyDescent="0.25">
      <c r="A32" s="64" t="s">
        <v>207</v>
      </c>
      <c r="B32" s="71"/>
      <c r="C32" s="64" t="s">
        <v>208</v>
      </c>
      <c r="D32" s="544"/>
      <c r="E32" s="544"/>
      <c r="F32" s="544"/>
      <c r="G32" s="544"/>
      <c r="H32" s="544"/>
      <c r="I32" s="544"/>
      <c r="J32" s="544"/>
      <c r="K32" s="544"/>
    </row>
    <row r="33" spans="1:11" ht="4.5" customHeight="1" x14ac:dyDescent="0.25">
      <c r="A33" s="550"/>
      <c r="B33" s="550"/>
      <c r="C33" s="550"/>
      <c r="D33" s="550"/>
      <c r="E33" s="550"/>
      <c r="F33" s="550"/>
      <c r="G33" s="550"/>
      <c r="H33" s="550"/>
      <c r="I33" s="550"/>
      <c r="J33" s="550"/>
      <c r="K33" s="550"/>
    </row>
    <row r="34" spans="1:11" x14ac:dyDescent="0.25">
      <c r="A34" s="65"/>
      <c r="B34" s="66" t="s">
        <v>211</v>
      </c>
      <c r="C34" s="551"/>
      <c r="D34" s="551"/>
      <c r="E34" s="551"/>
      <c r="F34" s="551"/>
      <c r="G34" s="551"/>
      <c r="H34" s="551"/>
      <c r="I34" s="551"/>
      <c r="J34" s="551"/>
      <c r="K34" s="551"/>
    </row>
    <row r="35" spans="1:11" x14ac:dyDescent="0.25">
      <c r="A35" s="64" t="s">
        <v>207</v>
      </c>
      <c r="B35" s="72">
        <f>B16+B17+B18+B19+B20+B21+B22+B23+B24+B25+B26+B27+B28+B29+B30+B31+B32</f>
        <v>40</v>
      </c>
      <c r="C35" s="64" t="s">
        <v>212</v>
      </c>
      <c r="D35" s="527" t="s">
        <v>213</v>
      </c>
      <c r="E35" s="527"/>
      <c r="F35" s="527"/>
      <c r="G35" s="534" t="s">
        <v>214</v>
      </c>
      <c r="H35" s="534"/>
      <c r="I35" s="534"/>
      <c r="J35" s="534"/>
      <c r="K35" s="534"/>
    </row>
    <row r="36" spans="1:11" ht="4.5" customHeight="1" x14ac:dyDescent="0.25">
      <c r="A36" s="547"/>
      <c r="B36" s="550"/>
      <c r="C36" s="550"/>
      <c r="D36" s="550"/>
      <c r="E36" s="550"/>
      <c r="F36" s="550"/>
      <c r="G36" s="550"/>
      <c r="H36" s="550"/>
      <c r="I36" s="550"/>
      <c r="J36" s="550"/>
      <c r="K36" s="550"/>
    </row>
    <row r="37" spans="1:11" ht="16.5" customHeight="1" x14ac:dyDescent="0.25">
      <c r="A37" s="62" t="s">
        <v>215</v>
      </c>
      <c r="B37" s="553" t="s">
        <v>216</v>
      </c>
      <c r="C37" s="553"/>
      <c r="D37" s="553"/>
      <c r="E37" s="553"/>
      <c r="F37" s="553"/>
      <c r="G37" s="553"/>
      <c r="H37" s="553"/>
      <c r="I37" s="553"/>
      <c r="J37" s="553"/>
      <c r="K37" s="553"/>
    </row>
    <row r="38" spans="1:11" x14ac:dyDescent="0.25">
      <c r="A38" s="62" t="s">
        <v>217</v>
      </c>
      <c r="B38" s="62"/>
      <c r="C38" s="528" t="s">
        <v>218</v>
      </c>
      <c r="D38" s="528"/>
      <c r="E38" s="528"/>
      <c r="F38" s="528"/>
      <c r="G38" s="528" t="s">
        <v>219</v>
      </c>
      <c r="H38" s="528"/>
      <c r="I38" s="528" t="s">
        <v>220</v>
      </c>
      <c r="J38" s="528"/>
      <c r="K38" s="528"/>
    </row>
    <row r="39" spans="1:11" ht="22.5" customHeight="1" x14ac:dyDescent="0.25">
      <c r="A39" s="527">
        <f>'Master Checklist'!R57</f>
        <v>0</v>
      </c>
      <c r="B39" s="527"/>
      <c r="C39" s="527" t="str">
        <f>C3</f>
        <v/>
      </c>
      <c r="D39" s="527"/>
      <c r="E39" s="527"/>
      <c r="F39" s="527"/>
      <c r="G39" s="554">
        <f>J4</f>
        <v>0</v>
      </c>
      <c r="H39" s="554"/>
      <c r="I39" s="555">
        <f>B35</f>
        <v>40</v>
      </c>
      <c r="J39" s="555"/>
      <c r="K39" s="555"/>
    </row>
    <row r="40" spans="1:11" ht="15" customHeight="1" x14ac:dyDescent="0.25">
      <c r="A40" s="523" t="s">
        <v>221</v>
      </c>
      <c r="B40" s="525"/>
      <c r="C40" s="69" t="s">
        <v>222</v>
      </c>
      <c r="D40" s="70" t="s">
        <v>223</v>
      </c>
      <c r="E40" s="69" t="s">
        <v>224</v>
      </c>
      <c r="F40" s="70" t="s">
        <v>223</v>
      </c>
      <c r="G40" s="69" t="s">
        <v>225</v>
      </c>
      <c r="H40" s="260"/>
      <c r="I40" s="523" t="s">
        <v>226</v>
      </c>
      <c r="J40" s="525"/>
      <c r="K40" s="70"/>
    </row>
    <row r="41" spans="1:11" ht="4.5" customHeight="1" x14ac:dyDescent="0.25">
      <c r="A41" s="550"/>
      <c r="B41" s="550"/>
      <c r="C41" s="550"/>
      <c r="D41" s="550"/>
      <c r="E41" s="550"/>
      <c r="F41" s="550"/>
      <c r="G41" s="550"/>
      <c r="H41" s="550"/>
      <c r="I41" s="550"/>
      <c r="J41" s="550"/>
      <c r="K41" s="550"/>
    </row>
    <row r="42" spans="1:11" ht="15.75" x14ac:dyDescent="0.25">
      <c r="A42" s="553" t="s">
        <v>227</v>
      </c>
      <c r="B42" s="553"/>
      <c r="C42" s="553"/>
      <c r="D42" s="553"/>
      <c r="E42" s="553"/>
      <c r="F42" s="553"/>
      <c r="G42" s="553"/>
      <c r="H42" s="553"/>
      <c r="I42" s="553"/>
      <c r="J42" s="553"/>
      <c r="K42" s="553"/>
    </row>
    <row r="43" spans="1:11" x14ac:dyDescent="0.25">
      <c r="A43" s="527" t="s">
        <v>228</v>
      </c>
      <c r="B43" s="527"/>
      <c r="C43" s="527"/>
      <c r="D43" s="527"/>
      <c r="E43" s="527"/>
      <c r="F43" s="527"/>
      <c r="G43" s="527"/>
      <c r="H43" s="527"/>
      <c r="I43" s="527" t="s">
        <v>229</v>
      </c>
      <c r="J43" s="527"/>
      <c r="K43" s="527"/>
    </row>
    <row r="44" spans="1:11" ht="32.25" customHeight="1" x14ac:dyDescent="0.25">
      <c r="A44" s="552" t="s">
        <v>230</v>
      </c>
      <c r="B44" s="552"/>
      <c r="C44" s="552"/>
      <c r="D44" s="552"/>
      <c r="E44" s="552"/>
      <c r="F44" s="552"/>
      <c r="G44" s="552"/>
      <c r="H44" s="552"/>
      <c r="I44" s="536"/>
      <c r="J44" s="536"/>
      <c r="K44" s="536"/>
    </row>
    <row r="45" spans="1:11" x14ac:dyDescent="0.25">
      <c r="A45" s="527" t="s">
        <v>231</v>
      </c>
      <c r="B45" s="527"/>
      <c r="C45" s="527"/>
      <c r="D45" s="527"/>
      <c r="E45" s="527"/>
      <c r="F45" s="527"/>
      <c r="G45" s="527"/>
      <c r="H45" s="527"/>
      <c r="I45" s="536"/>
      <c r="J45" s="536"/>
      <c r="K45" s="536"/>
    </row>
    <row r="46" spans="1:11" x14ac:dyDescent="0.25">
      <c r="A46" s="527" t="s">
        <v>232</v>
      </c>
      <c r="B46" s="527"/>
      <c r="C46" s="527"/>
      <c r="D46" s="527"/>
      <c r="E46" s="527"/>
      <c r="F46" s="527"/>
      <c r="G46" s="527"/>
      <c r="H46" s="527"/>
      <c r="I46" s="536"/>
      <c r="J46" s="536"/>
      <c r="K46" s="536"/>
    </row>
    <row r="47" spans="1:11" x14ac:dyDescent="0.25">
      <c r="A47" s="527" t="s">
        <v>233</v>
      </c>
      <c r="B47" s="527"/>
      <c r="C47" s="527"/>
      <c r="D47" s="527"/>
      <c r="E47" s="527"/>
      <c r="F47" s="527"/>
      <c r="G47" s="527"/>
      <c r="H47" s="527"/>
      <c r="I47" s="536"/>
      <c r="J47" s="536"/>
      <c r="K47" s="536"/>
    </row>
  </sheetData>
  <sheetProtection password="CC7A" sheet="1" objects="1" scenarios="1" selectLockedCells="1"/>
  <mergeCells count="93">
    <mergeCell ref="A47:H47"/>
    <mergeCell ref="I47:K47"/>
    <mergeCell ref="A45:H45"/>
    <mergeCell ref="A46:H46"/>
    <mergeCell ref="I46:K46"/>
    <mergeCell ref="I45:K45"/>
    <mergeCell ref="A44:H44"/>
    <mergeCell ref="A41:K41"/>
    <mergeCell ref="I44:K44"/>
    <mergeCell ref="B37:K37"/>
    <mergeCell ref="A39:B39"/>
    <mergeCell ref="C39:F39"/>
    <mergeCell ref="C38:F38"/>
    <mergeCell ref="G38:H38"/>
    <mergeCell ref="I38:K38"/>
    <mergeCell ref="G39:H39"/>
    <mergeCell ref="I39:K39"/>
    <mergeCell ref="I40:J40"/>
    <mergeCell ref="A42:K42"/>
    <mergeCell ref="A40:B40"/>
    <mergeCell ref="A43:H43"/>
    <mergeCell ref="I43:K43"/>
    <mergeCell ref="A36:K36"/>
    <mergeCell ref="D26:F26"/>
    <mergeCell ref="G26:K26"/>
    <mergeCell ref="D27:F27"/>
    <mergeCell ref="G27:K27"/>
    <mergeCell ref="C34:K34"/>
    <mergeCell ref="D28:F28"/>
    <mergeCell ref="G28:K28"/>
    <mergeCell ref="D31:F31"/>
    <mergeCell ref="G31:K31"/>
    <mergeCell ref="D35:F35"/>
    <mergeCell ref="G35:K35"/>
    <mergeCell ref="D32:F32"/>
    <mergeCell ref="G32:K32"/>
    <mergeCell ref="A33:K33"/>
    <mergeCell ref="D29:F29"/>
    <mergeCell ref="G29:K29"/>
    <mergeCell ref="D30:F30"/>
    <mergeCell ref="G30:K30"/>
    <mergeCell ref="D23:F23"/>
    <mergeCell ref="G23:K23"/>
    <mergeCell ref="D24:F24"/>
    <mergeCell ref="G24:K24"/>
    <mergeCell ref="D25:F25"/>
    <mergeCell ref="G25:K25"/>
    <mergeCell ref="D20:F20"/>
    <mergeCell ref="G20:K20"/>
    <mergeCell ref="D21:F21"/>
    <mergeCell ref="G21:K21"/>
    <mergeCell ref="D22:F22"/>
    <mergeCell ref="G22:K22"/>
    <mergeCell ref="E17:F17"/>
    <mergeCell ref="G17:K17"/>
    <mergeCell ref="D18:F18"/>
    <mergeCell ref="G18:K18"/>
    <mergeCell ref="D19:F19"/>
    <mergeCell ref="G19:K19"/>
    <mergeCell ref="D16:F16"/>
    <mergeCell ref="G16:K16"/>
    <mergeCell ref="A15:B15"/>
    <mergeCell ref="C15:F15"/>
    <mergeCell ref="G15:K15"/>
    <mergeCell ref="A12:B13"/>
    <mergeCell ref="C12:G13"/>
    <mergeCell ref="I12:K12"/>
    <mergeCell ref="H13:K13"/>
    <mergeCell ref="B14:K14"/>
    <mergeCell ref="A7:B8"/>
    <mergeCell ref="C7:K8"/>
    <mergeCell ref="A9:B10"/>
    <mergeCell ref="C9:K10"/>
    <mergeCell ref="A11:B11"/>
    <mergeCell ref="C11:F11"/>
    <mergeCell ref="H11:K11"/>
    <mergeCell ref="A5:C5"/>
    <mergeCell ref="D5:E5"/>
    <mergeCell ref="H5:I5"/>
    <mergeCell ref="J5:K5"/>
    <mergeCell ref="A6:C6"/>
    <mergeCell ref="D6:E6"/>
    <mergeCell ref="H6:I6"/>
    <mergeCell ref="J6:K6"/>
    <mergeCell ref="A1:K1"/>
    <mergeCell ref="B2:K2"/>
    <mergeCell ref="A3:B3"/>
    <mergeCell ref="A4:B4"/>
    <mergeCell ref="C4:E4"/>
    <mergeCell ref="H4:I4"/>
    <mergeCell ref="J4:K4"/>
    <mergeCell ref="C3:F3"/>
    <mergeCell ref="G3:K3"/>
  </mergeCells>
  <pageMargins left="0.7" right="0.7" top="0.75" bottom="0.75" header="0.3" footer="0.3"/>
  <pageSetup orientation="portrait" r:id="rId1"/>
  <headerFooter>
    <oddHeader>&amp;C&amp;"-,Bold"&amp;12CONSUMER LOAN CLOSING DOC REQUEST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40708-0CEF-4278-BE4D-181EB18DD179}">
  <sheetPr codeName="Sheet3">
    <tabColor theme="7" tint="0.39997558519241921"/>
  </sheetPr>
  <dimension ref="A1:R48"/>
  <sheetViews>
    <sheetView workbookViewId="0">
      <selection activeCell="B37" sqref="B37:O47"/>
    </sheetView>
  </sheetViews>
  <sheetFormatPr defaultRowHeight="12.75" x14ac:dyDescent="0.2"/>
  <sheetData>
    <row r="1" spans="1:18" ht="25.5" x14ac:dyDescent="0.35">
      <c r="A1" s="558" t="s">
        <v>234</v>
      </c>
      <c r="B1" s="558"/>
      <c r="C1" s="558"/>
      <c r="D1" s="558"/>
      <c r="E1" s="558"/>
      <c r="F1" s="558"/>
      <c r="G1" s="558"/>
      <c r="H1" s="558"/>
      <c r="I1" s="558"/>
      <c r="J1" s="558"/>
      <c r="K1" s="558"/>
      <c r="L1" s="558"/>
      <c r="M1" s="558"/>
      <c r="N1" s="558"/>
      <c r="O1" s="558"/>
      <c r="P1" s="558"/>
      <c r="Q1" s="558"/>
      <c r="R1" s="558"/>
    </row>
    <row r="2" spans="1:18" x14ac:dyDescent="0.2">
      <c r="A2" s="559" t="s">
        <v>235</v>
      </c>
      <c r="B2" s="559"/>
      <c r="C2" s="559"/>
      <c r="D2" s="559"/>
      <c r="E2" s="559"/>
      <c r="F2" s="559"/>
      <c r="G2" s="559"/>
      <c r="H2" s="559"/>
      <c r="I2" s="559"/>
      <c r="J2" s="559"/>
      <c r="K2" s="559"/>
      <c r="L2" s="559"/>
      <c r="M2" s="559"/>
      <c r="N2" s="559"/>
      <c r="O2" s="559"/>
      <c r="P2" s="559"/>
      <c r="Q2" s="559"/>
      <c r="R2" s="559"/>
    </row>
    <row r="3" spans="1:18" x14ac:dyDescent="0.2">
      <c r="B3" s="556" t="s">
        <v>236</v>
      </c>
      <c r="C3" s="556"/>
      <c r="D3" s="556"/>
      <c r="E3" s="556"/>
      <c r="F3" s="556"/>
      <c r="G3" s="556"/>
      <c r="H3" s="556"/>
      <c r="I3" s="557"/>
      <c r="J3" s="557"/>
      <c r="K3" s="557"/>
      <c r="L3" s="557"/>
      <c r="M3" s="557"/>
      <c r="N3" s="557"/>
      <c r="O3" s="557"/>
      <c r="P3" s="557"/>
      <c r="Q3" s="557"/>
      <c r="R3" s="557"/>
    </row>
    <row r="4" spans="1:18" x14ac:dyDescent="0.2">
      <c r="A4" s="557"/>
      <c r="B4" s="557"/>
      <c r="C4" s="557"/>
      <c r="D4" s="557"/>
      <c r="E4" s="557"/>
      <c r="F4" s="557"/>
      <c r="G4" s="557"/>
      <c r="H4" s="557"/>
      <c r="J4" s="153" t="s">
        <v>237</v>
      </c>
      <c r="K4" s="153"/>
      <c r="L4" s="153"/>
      <c r="M4" s="153"/>
      <c r="N4" s="153"/>
      <c r="O4" s="153"/>
      <c r="P4" s="153"/>
      <c r="Q4" s="153"/>
      <c r="R4" s="153"/>
    </row>
    <row r="5" spans="1:18" x14ac:dyDescent="0.2">
      <c r="B5" s="556" t="s">
        <v>238</v>
      </c>
      <c r="C5" s="556"/>
      <c r="D5" s="556"/>
      <c r="E5" s="556"/>
      <c r="F5" s="556"/>
      <c r="G5" s="556"/>
      <c r="H5" s="556"/>
      <c r="I5" s="557"/>
      <c r="J5" s="557"/>
      <c r="K5" s="557"/>
      <c r="L5" s="557"/>
      <c r="M5" s="557"/>
      <c r="N5" s="557"/>
      <c r="O5" s="557"/>
      <c r="P5" s="557"/>
      <c r="Q5" s="557"/>
      <c r="R5" s="557"/>
    </row>
    <row r="6" spans="1:18" x14ac:dyDescent="0.2">
      <c r="A6" s="557"/>
      <c r="B6" s="557"/>
      <c r="C6" s="557"/>
      <c r="D6" s="557"/>
      <c r="E6" s="557"/>
      <c r="F6" s="557"/>
      <c r="G6" s="557"/>
      <c r="H6" s="557"/>
      <c r="J6" s="556" t="s">
        <v>239</v>
      </c>
      <c r="K6" s="556"/>
      <c r="L6" s="556"/>
      <c r="M6" s="556"/>
      <c r="N6" s="556"/>
      <c r="O6" s="556"/>
      <c r="P6" s="556"/>
      <c r="Q6" s="556"/>
      <c r="R6" s="556"/>
    </row>
    <row r="7" spans="1:18" x14ac:dyDescent="0.2">
      <c r="B7" s="556" t="s">
        <v>240</v>
      </c>
      <c r="C7" s="560"/>
      <c r="D7" s="560"/>
      <c r="E7" s="560"/>
      <c r="F7" s="560"/>
      <c r="G7" s="560"/>
      <c r="H7" s="560"/>
      <c r="I7" s="557"/>
      <c r="J7" s="557"/>
      <c r="K7" s="557"/>
      <c r="L7" s="557"/>
      <c r="M7" s="557"/>
      <c r="N7" s="557"/>
      <c r="O7" s="557"/>
      <c r="P7" s="557"/>
      <c r="Q7" s="557"/>
      <c r="R7" s="557"/>
    </row>
    <row r="8" spans="1:18" x14ac:dyDescent="0.2">
      <c r="A8" s="557"/>
      <c r="B8" s="557"/>
      <c r="C8" s="557"/>
      <c r="D8" s="557"/>
      <c r="E8" s="557"/>
      <c r="F8" s="557"/>
      <c r="G8" s="557"/>
      <c r="H8" s="557"/>
      <c r="J8" s="556" t="s">
        <v>241</v>
      </c>
      <c r="K8" s="556"/>
      <c r="L8" s="556"/>
      <c r="M8" s="556"/>
      <c r="N8" s="556"/>
      <c r="O8" s="556"/>
      <c r="P8" s="556"/>
      <c r="Q8" s="556"/>
      <c r="R8" s="556"/>
    </row>
    <row r="9" spans="1:18" x14ac:dyDescent="0.2">
      <c r="B9" s="556" t="s">
        <v>242</v>
      </c>
      <c r="C9" s="561"/>
      <c r="D9" s="561"/>
      <c r="E9" s="561"/>
      <c r="F9" s="561"/>
      <c r="G9" s="561"/>
      <c r="H9" s="561"/>
      <c r="I9" s="557"/>
      <c r="J9" s="557"/>
      <c r="K9" s="557"/>
      <c r="L9" s="557"/>
      <c r="M9" s="557"/>
      <c r="N9" s="557"/>
      <c r="O9" s="557"/>
      <c r="P9" s="557"/>
      <c r="Q9" s="557"/>
      <c r="R9" s="557"/>
    </row>
    <row r="10" spans="1:18" x14ac:dyDescent="0.2">
      <c r="A10" s="557"/>
      <c r="B10" s="557"/>
      <c r="C10" s="557"/>
      <c r="D10" s="557"/>
      <c r="E10" s="557"/>
      <c r="F10" s="557"/>
      <c r="G10" s="557"/>
      <c r="H10" s="557"/>
      <c r="J10" s="556" t="s">
        <v>243</v>
      </c>
      <c r="K10" s="556"/>
      <c r="L10" s="556"/>
      <c r="M10" s="556"/>
      <c r="N10" s="556"/>
      <c r="O10" s="556"/>
      <c r="P10" s="556"/>
      <c r="Q10" s="556"/>
      <c r="R10" s="556"/>
    </row>
    <row r="11" spans="1:18" x14ac:dyDescent="0.2">
      <c r="B11" s="556" t="s">
        <v>244</v>
      </c>
      <c r="C11" s="561"/>
      <c r="D11" s="561"/>
      <c r="E11" s="561"/>
      <c r="F11" s="561"/>
      <c r="G11" s="561"/>
      <c r="H11" s="561"/>
      <c r="I11" s="557"/>
      <c r="J11" s="557"/>
      <c r="K11" s="557"/>
      <c r="L11" s="557"/>
      <c r="M11" s="557"/>
      <c r="N11" s="557"/>
      <c r="O11" s="557"/>
      <c r="P11" s="557"/>
      <c r="Q11" s="557"/>
      <c r="R11" s="557"/>
    </row>
    <row r="12" spans="1:18" x14ac:dyDescent="0.2">
      <c r="A12" s="557"/>
      <c r="B12" s="557"/>
      <c r="C12" s="557"/>
      <c r="D12" s="557"/>
      <c r="E12" s="557"/>
      <c r="F12" s="557"/>
      <c r="G12" s="557"/>
      <c r="H12" s="557"/>
      <c r="J12" s="556" t="s">
        <v>245</v>
      </c>
      <c r="K12" s="556"/>
      <c r="L12" s="556"/>
      <c r="M12" s="556"/>
      <c r="N12" s="556"/>
      <c r="O12" s="556"/>
      <c r="P12" s="556"/>
      <c r="Q12" s="556"/>
      <c r="R12" s="556"/>
    </row>
    <row r="13" spans="1:18" x14ac:dyDescent="0.2">
      <c r="B13" s="556" t="s">
        <v>246</v>
      </c>
      <c r="C13" s="561"/>
      <c r="D13" s="561"/>
      <c r="E13" s="561"/>
      <c r="F13" s="561"/>
      <c r="G13" s="561"/>
      <c r="H13" s="561"/>
      <c r="I13" s="557"/>
      <c r="J13" s="557"/>
      <c r="K13" s="557"/>
      <c r="L13" s="557"/>
      <c r="M13" s="557"/>
      <c r="N13" s="557"/>
      <c r="O13" s="557"/>
      <c r="P13" s="557"/>
      <c r="Q13" s="557"/>
      <c r="R13" s="557"/>
    </row>
    <row r="14" spans="1:18" x14ac:dyDescent="0.2">
      <c r="A14" s="557"/>
      <c r="B14" s="557"/>
      <c r="C14" s="557"/>
      <c r="D14" s="557"/>
      <c r="E14" s="557"/>
      <c r="F14" s="557"/>
      <c r="G14" s="557"/>
      <c r="H14" s="557"/>
      <c r="J14" s="556" t="s">
        <v>247</v>
      </c>
      <c r="K14" s="556"/>
      <c r="L14" s="556"/>
      <c r="M14" s="556"/>
      <c r="N14" s="556"/>
      <c r="O14" s="556"/>
      <c r="P14" s="556"/>
      <c r="Q14" s="556"/>
      <c r="R14" s="556"/>
    </row>
    <row r="15" spans="1:18" x14ac:dyDescent="0.2">
      <c r="B15" s="556" t="s">
        <v>248</v>
      </c>
      <c r="C15" s="561"/>
      <c r="D15" s="561"/>
      <c r="E15" s="561"/>
      <c r="F15" s="561"/>
      <c r="G15" s="561"/>
      <c r="H15" s="561"/>
      <c r="I15" s="557"/>
      <c r="J15" s="557"/>
      <c r="K15" s="557"/>
      <c r="L15" s="557"/>
      <c r="M15" s="557"/>
      <c r="N15" s="557"/>
      <c r="O15" s="557"/>
      <c r="P15" s="557"/>
      <c r="Q15" s="557"/>
      <c r="R15" s="557"/>
    </row>
    <row r="16" spans="1:18" x14ac:dyDescent="0.2">
      <c r="A16" s="557"/>
      <c r="B16" s="557"/>
      <c r="C16" s="557"/>
      <c r="D16" s="557"/>
      <c r="E16" s="557"/>
      <c r="F16" s="557"/>
      <c r="G16" s="557"/>
      <c r="H16" s="557"/>
      <c r="J16" s="556" t="s">
        <v>249</v>
      </c>
      <c r="K16" s="556"/>
      <c r="L16" s="556"/>
      <c r="M16" s="556"/>
      <c r="N16" s="556"/>
      <c r="O16" s="556"/>
      <c r="P16" s="556"/>
      <c r="Q16" s="556"/>
      <c r="R16" s="556"/>
    </row>
    <row r="17" spans="1:18" x14ac:dyDescent="0.2">
      <c r="B17" s="556" t="s">
        <v>250</v>
      </c>
      <c r="C17" s="561"/>
      <c r="D17" s="561"/>
      <c r="E17" s="561"/>
      <c r="F17" s="561"/>
      <c r="G17" s="561"/>
      <c r="H17" s="561"/>
      <c r="I17" s="557"/>
      <c r="J17" s="557"/>
      <c r="K17" s="557"/>
      <c r="L17" s="557"/>
      <c r="M17" s="557"/>
      <c r="N17" s="557"/>
      <c r="O17" s="557"/>
      <c r="P17" s="557"/>
      <c r="Q17" s="557"/>
      <c r="R17" s="557"/>
    </row>
    <row r="18" spans="1:18" x14ac:dyDescent="0.2">
      <c r="B18" s="562" t="s">
        <v>251</v>
      </c>
      <c r="C18" s="562"/>
      <c r="D18" s="562"/>
      <c r="E18" s="562"/>
      <c r="F18" s="562"/>
      <c r="G18" s="562"/>
      <c r="H18" s="562"/>
      <c r="J18" s="556" t="s">
        <v>252</v>
      </c>
      <c r="K18" s="556"/>
      <c r="L18" s="556"/>
      <c r="M18" s="556"/>
      <c r="N18" s="556"/>
      <c r="O18" s="556"/>
      <c r="P18" s="556"/>
      <c r="Q18" s="556"/>
      <c r="R18" s="556"/>
    </row>
    <row r="19" spans="1:18" x14ac:dyDescent="0.2">
      <c r="B19" s="556" t="s">
        <v>253</v>
      </c>
      <c r="C19" s="561"/>
      <c r="D19" s="561"/>
      <c r="E19" s="561"/>
      <c r="F19" s="561"/>
      <c r="G19" s="561"/>
      <c r="H19" s="561"/>
      <c r="I19" s="562" t="s">
        <v>254</v>
      </c>
      <c r="J19" s="562"/>
      <c r="K19" s="562"/>
      <c r="L19" s="562"/>
      <c r="M19" s="562"/>
      <c r="N19" s="562"/>
      <c r="O19" s="562"/>
      <c r="P19" s="562"/>
      <c r="Q19" s="562"/>
      <c r="R19" s="562"/>
    </row>
    <row r="20" spans="1:18" x14ac:dyDescent="0.2">
      <c r="B20" s="562" t="s">
        <v>255</v>
      </c>
      <c r="C20" s="562"/>
      <c r="D20" s="562"/>
      <c r="E20" s="562"/>
      <c r="F20" s="562"/>
      <c r="G20" s="562"/>
      <c r="H20" s="562"/>
      <c r="I20" s="563"/>
      <c r="J20" s="564"/>
      <c r="K20" s="564"/>
      <c r="L20" s="564"/>
      <c r="M20" s="564"/>
      <c r="N20" s="564"/>
      <c r="O20" s="564"/>
      <c r="P20" s="564"/>
      <c r="Q20" s="565"/>
    </row>
    <row r="21" spans="1:18" x14ac:dyDescent="0.2">
      <c r="B21" s="556" t="s">
        <v>256</v>
      </c>
      <c r="C21" s="561"/>
      <c r="D21" s="561"/>
      <c r="E21" s="561"/>
      <c r="F21" s="561"/>
      <c r="G21" s="561"/>
      <c r="H21" s="561"/>
      <c r="I21" s="566"/>
      <c r="J21" s="567"/>
      <c r="K21" s="567"/>
      <c r="L21" s="567"/>
      <c r="M21" s="567"/>
      <c r="N21" s="567"/>
      <c r="O21" s="567"/>
      <c r="P21" s="567"/>
      <c r="Q21" s="568"/>
    </row>
    <row r="22" spans="1:18" x14ac:dyDescent="0.2">
      <c r="A22" s="557"/>
      <c r="B22" s="557"/>
      <c r="C22" s="557"/>
      <c r="D22" s="557"/>
      <c r="E22" s="557"/>
      <c r="F22" s="557"/>
      <c r="G22" s="557"/>
      <c r="H22" s="572"/>
      <c r="I22" s="566"/>
      <c r="J22" s="567"/>
      <c r="K22" s="567"/>
      <c r="L22" s="567"/>
      <c r="M22" s="567"/>
      <c r="N22" s="567"/>
      <c r="O22" s="567"/>
      <c r="P22" s="567"/>
      <c r="Q22" s="568"/>
    </row>
    <row r="23" spans="1:18" x14ac:dyDescent="0.2">
      <c r="B23" s="556" t="s">
        <v>257</v>
      </c>
      <c r="C23" s="561"/>
      <c r="D23" s="561"/>
      <c r="E23" s="561"/>
      <c r="F23" s="561"/>
      <c r="G23" s="561"/>
      <c r="H23" s="561"/>
      <c r="I23" s="566"/>
      <c r="J23" s="567"/>
      <c r="K23" s="567"/>
      <c r="L23" s="567"/>
      <c r="M23" s="567"/>
      <c r="N23" s="567"/>
      <c r="O23" s="567"/>
      <c r="P23" s="567"/>
      <c r="Q23" s="568"/>
    </row>
    <row r="24" spans="1:18" x14ac:dyDescent="0.2">
      <c r="A24" s="557"/>
      <c r="B24" s="557"/>
      <c r="C24" s="557"/>
      <c r="D24" s="557"/>
      <c r="E24" s="557"/>
      <c r="F24" s="557"/>
      <c r="G24" s="557"/>
      <c r="H24" s="572"/>
      <c r="I24" s="566"/>
      <c r="J24" s="567"/>
      <c r="K24" s="567"/>
      <c r="L24" s="567"/>
      <c r="M24" s="567"/>
      <c r="N24" s="567"/>
      <c r="O24" s="567"/>
      <c r="P24" s="567"/>
      <c r="Q24" s="568"/>
    </row>
    <row r="25" spans="1:18" x14ac:dyDescent="0.2">
      <c r="B25" s="556" t="s">
        <v>258</v>
      </c>
      <c r="C25" s="561"/>
      <c r="D25" s="561"/>
      <c r="E25" s="561"/>
      <c r="F25" s="561"/>
      <c r="G25" s="561"/>
      <c r="H25" s="561"/>
      <c r="I25" s="566"/>
      <c r="J25" s="567"/>
      <c r="K25" s="567"/>
      <c r="L25" s="567"/>
      <c r="M25" s="567"/>
      <c r="N25" s="567"/>
      <c r="O25" s="567"/>
      <c r="P25" s="567"/>
      <c r="Q25" s="568"/>
    </row>
    <row r="26" spans="1:18" x14ac:dyDescent="0.2">
      <c r="A26" s="557"/>
      <c r="B26" s="557"/>
      <c r="C26" s="557"/>
      <c r="D26" s="557"/>
      <c r="E26" s="557"/>
      <c r="F26" s="557"/>
      <c r="G26" s="557"/>
      <c r="H26" s="572"/>
      <c r="I26" s="566"/>
      <c r="J26" s="567"/>
      <c r="K26" s="567"/>
      <c r="L26" s="567"/>
      <c r="M26" s="567"/>
      <c r="N26" s="567"/>
      <c r="O26" s="567"/>
      <c r="P26" s="567"/>
      <c r="Q26" s="568"/>
    </row>
    <row r="27" spans="1:18" x14ac:dyDescent="0.2">
      <c r="B27" s="556" t="s">
        <v>259</v>
      </c>
      <c r="C27" s="561"/>
      <c r="D27" s="561"/>
      <c r="E27" s="561"/>
      <c r="F27" s="561"/>
      <c r="G27" s="561"/>
      <c r="H27" s="561"/>
      <c r="I27" s="566"/>
      <c r="J27" s="567"/>
      <c r="K27" s="567"/>
      <c r="L27" s="567"/>
      <c r="M27" s="567"/>
      <c r="N27" s="567"/>
      <c r="O27" s="567"/>
      <c r="P27" s="567"/>
      <c r="Q27" s="568"/>
    </row>
    <row r="28" spans="1:18" x14ac:dyDescent="0.2">
      <c r="A28" s="557"/>
      <c r="B28" s="557"/>
      <c r="C28" s="557"/>
      <c r="D28" s="557"/>
      <c r="E28" s="557"/>
      <c r="F28" s="557"/>
      <c r="G28" s="557"/>
      <c r="H28" s="572"/>
      <c r="I28" s="566"/>
      <c r="J28" s="567"/>
      <c r="K28" s="567"/>
      <c r="L28" s="567"/>
      <c r="M28" s="567"/>
      <c r="N28" s="567"/>
      <c r="O28" s="567"/>
      <c r="P28" s="567"/>
      <c r="Q28" s="568"/>
    </row>
    <row r="29" spans="1:18" x14ac:dyDescent="0.2">
      <c r="B29" s="556" t="s">
        <v>260</v>
      </c>
      <c r="C29" s="561"/>
      <c r="D29" s="561"/>
      <c r="E29" s="561"/>
      <c r="F29" s="561"/>
      <c r="G29" s="561"/>
      <c r="H29" s="561"/>
      <c r="I29" s="569"/>
      <c r="J29" s="570"/>
      <c r="K29" s="570"/>
      <c r="L29" s="570"/>
      <c r="M29" s="570"/>
      <c r="N29" s="570"/>
      <c r="O29" s="570"/>
      <c r="P29" s="570"/>
      <c r="Q29" s="571"/>
    </row>
    <row r="30" spans="1:18" x14ac:dyDescent="0.2">
      <c r="A30" s="557"/>
      <c r="B30" s="557"/>
      <c r="C30" s="557"/>
      <c r="D30" s="557"/>
      <c r="E30" s="557"/>
      <c r="F30" s="557"/>
      <c r="G30" s="557"/>
      <c r="H30" s="557"/>
      <c r="I30" s="557"/>
      <c r="J30" s="557"/>
      <c r="K30" s="557"/>
      <c r="L30" s="557"/>
      <c r="M30" s="557"/>
      <c r="N30" s="557"/>
      <c r="O30" s="557"/>
      <c r="P30" s="557"/>
      <c r="Q30" s="557"/>
      <c r="R30" s="557"/>
    </row>
    <row r="31" spans="1:18" x14ac:dyDescent="0.2">
      <c r="B31" s="556" t="s">
        <v>261</v>
      </c>
      <c r="C31" s="556"/>
      <c r="D31" s="556"/>
      <c r="E31" s="556"/>
      <c r="F31" s="556"/>
      <c r="G31" s="556"/>
      <c r="H31" s="556"/>
      <c r="I31" s="556"/>
      <c r="J31" s="556"/>
      <c r="K31" s="556"/>
      <c r="L31" s="556"/>
      <c r="M31" s="556"/>
      <c r="N31" s="556"/>
      <c r="O31" s="556"/>
      <c r="P31" s="556"/>
      <c r="Q31" s="556"/>
      <c r="R31" s="556"/>
    </row>
    <row r="32" spans="1:18" x14ac:dyDescent="0.2">
      <c r="A32" s="557"/>
      <c r="B32" s="557"/>
      <c r="C32" s="557"/>
      <c r="D32" s="557"/>
      <c r="E32" s="557"/>
      <c r="F32" s="557"/>
      <c r="G32" s="557"/>
      <c r="H32" s="557"/>
      <c r="I32" s="557"/>
      <c r="J32" s="557"/>
      <c r="K32" s="557"/>
      <c r="L32" s="557"/>
      <c r="M32" s="557"/>
      <c r="N32" s="557"/>
      <c r="O32" s="557"/>
      <c r="P32" s="557"/>
      <c r="Q32" s="557"/>
      <c r="R32" s="557"/>
    </row>
    <row r="33" spans="1:18" x14ac:dyDescent="0.2">
      <c r="B33" s="556" t="s">
        <v>262</v>
      </c>
      <c r="C33" s="556"/>
      <c r="D33" s="556"/>
      <c r="E33" s="556"/>
      <c r="F33" s="556"/>
      <c r="G33" s="556"/>
      <c r="H33" s="556"/>
      <c r="I33" s="556"/>
      <c r="J33" s="556"/>
      <c r="K33" s="556"/>
      <c r="L33" s="556"/>
      <c r="M33" s="556"/>
      <c r="N33" s="556"/>
      <c r="O33" s="556"/>
      <c r="P33" s="556"/>
      <c r="Q33" s="556"/>
      <c r="R33" s="556"/>
    </row>
    <row r="34" spans="1:18" x14ac:dyDescent="0.2">
      <c r="A34" s="557"/>
      <c r="B34" s="557"/>
      <c r="C34" s="557"/>
      <c r="D34" s="557"/>
      <c r="E34" s="557"/>
      <c r="F34" s="557"/>
      <c r="G34" s="557"/>
      <c r="H34" s="557"/>
      <c r="I34" s="557"/>
      <c r="J34" s="557"/>
      <c r="K34" s="557"/>
      <c r="L34" s="557"/>
      <c r="M34" s="557"/>
      <c r="N34" s="557"/>
      <c r="O34" s="557"/>
      <c r="P34" s="557"/>
      <c r="Q34" s="557"/>
      <c r="R34" s="557"/>
    </row>
    <row r="35" spans="1:18" ht="23.25" x14ac:dyDescent="0.35">
      <c r="A35" s="574" t="s">
        <v>263</v>
      </c>
      <c r="B35" s="574"/>
      <c r="C35" s="574"/>
      <c r="D35" s="574"/>
      <c r="E35" s="574"/>
      <c r="F35" s="574"/>
      <c r="G35" s="574"/>
      <c r="H35" s="574"/>
      <c r="I35" s="574"/>
      <c r="J35" s="574"/>
      <c r="K35" s="574"/>
      <c r="L35" s="574"/>
      <c r="M35" s="574"/>
      <c r="N35" s="574"/>
      <c r="O35" s="574"/>
      <c r="P35" s="574"/>
      <c r="Q35" s="574"/>
      <c r="R35" s="574"/>
    </row>
    <row r="36" spans="1:18" ht="14.25" x14ac:dyDescent="0.2">
      <c r="A36" s="573" t="s">
        <v>264</v>
      </c>
      <c r="B36" s="573"/>
      <c r="C36" s="573"/>
      <c r="D36" s="573"/>
      <c r="E36" s="573"/>
      <c r="F36" s="573"/>
      <c r="G36" s="573"/>
      <c r="H36" s="573"/>
      <c r="I36" s="573"/>
      <c r="J36" s="573"/>
      <c r="K36" s="573"/>
      <c r="L36" s="573"/>
      <c r="M36" s="573"/>
      <c r="N36" s="573"/>
      <c r="O36" s="573"/>
      <c r="P36" s="573"/>
      <c r="Q36" s="573"/>
      <c r="R36" s="573"/>
    </row>
    <row r="37" spans="1:18" ht="14.25" x14ac:dyDescent="0.2">
      <c r="B37" s="563"/>
      <c r="C37" s="576"/>
      <c r="D37" s="576"/>
      <c r="E37" s="576"/>
      <c r="F37" s="576"/>
      <c r="G37" s="576"/>
      <c r="H37" s="576"/>
      <c r="I37" s="576"/>
      <c r="J37" s="576"/>
      <c r="K37" s="576"/>
      <c r="L37" s="576"/>
      <c r="M37" s="576"/>
      <c r="N37" s="576"/>
      <c r="O37" s="577"/>
      <c r="P37" s="584"/>
      <c r="Q37" s="585"/>
      <c r="R37" s="585"/>
    </row>
    <row r="38" spans="1:18" ht="14.25" x14ac:dyDescent="0.2">
      <c r="B38" s="578"/>
      <c r="C38" s="579"/>
      <c r="D38" s="579"/>
      <c r="E38" s="579"/>
      <c r="F38" s="579"/>
      <c r="G38" s="579"/>
      <c r="H38" s="579"/>
      <c r="I38" s="579"/>
      <c r="J38" s="579"/>
      <c r="K38" s="579"/>
      <c r="L38" s="579"/>
      <c r="M38" s="579"/>
      <c r="N38" s="579"/>
      <c r="O38" s="580"/>
      <c r="P38" s="584"/>
      <c r="Q38" s="585"/>
      <c r="R38" s="585"/>
    </row>
    <row r="39" spans="1:18" ht="14.25" x14ac:dyDescent="0.2">
      <c r="B39" s="578"/>
      <c r="C39" s="579"/>
      <c r="D39" s="579"/>
      <c r="E39" s="579"/>
      <c r="F39" s="579"/>
      <c r="G39" s="579"/>
      <c r="H39" s="579"/>
      <c r="I39" s="579"/>
      <c r="J39" s="579"/>
      <c r="K39" s="579"/>
      <c r="L39" s="579"/>
      <c r="M39" s="579"/>
      <c r="N39" s="579"/>
      <c r="O39" s="580"/>
      <c r="P39" s="584"/>
      <c r="Q39" s="585"/>
      <c r="R39" s="585"/>
    </row>
    <row r="40" spans="1:18" x14ac:dyDescent="0.2">
      <c r="B40" s="578"/>
      <c r="C40" s="579"/>
      <c r="D40" s="579"/>
      <c r="E40" s="579"/>
      <c r="F40" s="579"/>
      <c r="G40" s="579"/>
      <c r="H40" s="579"/>
      <c r="I40" s="579"/>
      <c r="J40" s="579"/>
      <c r="K40" s="579"/>
      <c r="L40" s="579"/>
      <c r="M40" s="579"/>
      <c r="N40" s="579"/>
      <c r="O40" s="580"/>
      <c r="P40" s="575"/>
      <c r="Q40" s="557"/>
      <c r="R40" s="557"/>
    </row>
    <row r="41" spans="1:18" x14ac:dyDescent="0.2">
      <c r="B41" s="578"/>
      <c r="C41" s="579"/>
      <c r="D41" s="579"/>
      <c r="E41" s="579"/>
      <c r="F41" s="579"/>
      <c r="G41" s="579"/>
      <c r="H41" s="579"/>
      <c r="I41" s="579"/>
      <c r="J41" s="579"/>
      <c r="K41" s="579"/>
      <c r="L41" s="579"/>
      <c r="M41" s="579"/>
      <c r="N41" s="579"/>
      <c r="O41" s="580"/>
      <c r="P41" s="575"/>
      <c r="Q41" s="557"/>
      <c r="R41" s="557"/>
    </row>
    <row r="42" spans="1:18" x14ac:dyDescent="0.2">
      <c r="B42" s="578"/>
      <c r="C42" s="579"/>
      <c r="D42" s="579"/>
      <c r="E42" s="579"/>
      <c r="F42" s="579"/>
      <c r="G42" s="579"/>
      <c r="H42" s="579"/>
      <c r="I42" s="579"/>
      <c r="J42" s="579"/>
      <c r="K42" s="579"/>
      <c r="L42" s="579"/>
      <c r="M42" s="579"/>
      <c r="N42" s="579"/>
      <c r="O42" s="580"/>
      <c r="P42" s="575"/>
      <c r="Q42" s="557"/>
      <c r="R42" s="557"/>
    </row>
    <row r="43" spans="1:18" x14ac:dyDescent="0.2">
      <c r="B43" s="578"/>
      <c r="C43" s="579"/>
      <c r="D43" s="579"/>
      <c r="E43" s="579"/>
      <c r="F43" s="579"/>
      <c r="G43" s="579"/>
      <c r="H43" s="579"/>
      <c r="I43" s="579"/>
      <c r="J43" s="579"/>
      <c r="K43" s="579"/>
      <c r="L43" s="579"/>
      <c r="M43" s="579"/>
      <c r="N43" s="579"/>
      <c r="O43" s="580"/>
      <c r="P43" s="575"/>
      <c r="Q43" s="557"/>
      <c r="R43" s="557"/>
    </row>
    <row r="44" spans="1:18" x14ac:dyDescent="0.2">
      <c r="B44" s="578"/>
      <c r="C44" s="579"/>
      <c r="D44" s="579"/>
      <c r="E44" s="579"/>
      <c r="F44" s="579"/>
      <c r="G44" s="579"/>
      <c r="H44" s="579"/>
      <c r="I44" s="579"/>
      <c r="J44" s="579"/>
      <c r="K44" s="579"/>
      <c r="L44" s="579"/>
      <c r="M44" s="579"/>
      <c r="N44" s="579"/>
      <c r="O44" s="580"/>
      <c r="P44" s="575"/>
      <c r="Q44" s="557"/>
      <c r="R44" s="557"/>
    </row>
    <row r="45" spans="1:18" x14ac:dyDescent="0.2">
      <c r="B45" s="578"/>
      <c r="C45" s="579"/>
      <c r="D45" s="579"/>
      <c r="E45" s="579"/>
      <c r="F45" s="579"/>
      <c r="G45" s="579"/>
      <c r="H45" s="579"/>
      <c r="I45" s="579"/>
      <c r="J45" s="579"/>
      <c r="K45" s="579"/>
      <c r="L45" s="579"/>
      <c r="M45" s="579"/>
      <c r="N45" s="579"/>
      <c r="O45" s="580"/>
      <c r="P45" s="575"/>
      <c r="Q45" s="557"/>
      <c r="R45" s="557"/>
    </row>
    <row r="46" spans="1:18" x14ac:dyDescent="0.2">
      <c r="B46" s="578"/>
      <c r="C46" s="579"/>
      <c r="D46" s="579"/>
      <c r="E46" s="579"/>
      <c r="F46" s="579"/>
      <c r="G46" s="579"/>
      <c r="H46" s="579"/>
      <c r="I46" s="579"/>
      <c r="J46" s="579"/>
      <c r="K46" s="579"/>
      <c r="L46" s="579"/>
      <c r="M46" s="579"/>
      <c r="N46" s="579"/>
      <c r="O46" s="580"/>
      <c r="P46" s="575"/>
      <c r="Q46" s="557"/>
      <c r="R46" s="557"/>
    </row>
    <row r="47" spans="1:18" x14ac:dyDescent="0.2">
      <c r="B47" s="581"/>
      <c r="C47" s="582"/>
      <c r="D47" s="582"/>
      <c r="E47" s="582"/>
      <c r="F47" s="582"/>
      <c r="G47" s="582"/>
      <c r="H47" s="582"/>
      <c r="I47" s="582"/>
      <c r="J47" s="582"/>
      <c r="K47" s="582"/>
      <c r="L47" s="582"/>
      <c r="M47" s="582"/>
      <c r="N47" s="582"/>
      <c r="O47" s="583"/>
      <c r="P47" s="575"/>
      <c r="Q47" s="557"/>
      <c r="R47" s="557"/>
    </row>
    <row r="48" spans="1:18" x14ac:dyDescent="0.2">
      <c r="A48" s="557"/>
      <c r="B48" s="557"/>
      <c r="C48" s="557"/>
      <c r="D48" s="557"/>
      <c r="E48" s="557"/>
      <c r="F48" s="557"/>
      <c r="G48" s="557"/>
      <c r="H48" s="557"/>
      <c r="I48" s="557"/>
      <c r="J48" s="557"/>
      <c r="K48" s="557"/>
      <c r="L48" s="557"/>
      <c r="M48" s="557"/>
      <c r="N48" s="557"/>
      <c r="O48" s="557"/>
      <c r="P48" s="557"/>
      <c r="Q48" s="557"/>
      <c r="R48" s="557"/>
    </row>
  </sheetData>
  <mergeCells count="66">
    <mergeCell ref="P46:R46"/>
    <mergeCell ref="P47:R47"/>
    <mergeCell ref="A48:R48"/>
    <mergeCell ref="B37:O47"/>
    <mergeCell ref="P37:R37"/>
    <mergeCell ref="P38:R38"/>
    <mergeCell ref="P39:R39"/>
    <mergeCell ref="P40:R40"/>
    <mergeCell ref="P41:R41"/>
    <mergeCell ref="P42:R42"/>
    <mergeCell ref="P43:R43"/>
    <mergeCell ref="P44:R44"/>
    <mergeCell ref="P45:R45"/>
    <mergeCell ref="A36:R36"/>
    <mergeCell ref="B25:H25"/>
    <mergeCell ref="A26:H26"/>
    <mergeCell ref="B27:H27"/>
    <mergeCell ref="A28:H28"/>
    <mergeCell ref="B29:H29"/>
    <mergeCell ref="A30:R30"/>
    <mergeCell ref="B31:R31"/>
    <mergeCell ref="A32:R32"/>
    <mergeCell ref="B33:R33"/>
    <mergeCell ref="A34:R34"/>
    <mergeCell ref="A35:R35"/>
    <mergeCell ref="B18:H18"/>
    <mergeCell ref="J18:R18"/>
    <mergeCell ref="B19:H19"/>
    <mergeCell ref="I19:R19"/>
    <mergeCell ref="B20:H20"/>
    <mergeCell ref="I20:Q29"/>
    <mergeCell ref="B21:H21"/>
    <mergeCell ref="A22:H22"/>
    <mergeCell ref="B23:H23"/>
    <mergeCell ref="A24:H24"/>
    <mergeCell ref="B15:H15"/>
    <mergeCell ref="I15:R15"/>
    <mergeCell ref="A16:H16"/>
    <mergeCell ref="J16:R16"/>
    <mergeCell ref="B17:H17"/>
    <mergeCell ref="I17:R17"/>
    <mergeCell ref="A12:H12"/>
    <mergeCell ref="J12:R12"/>
    <mergeCell ref="B13:H13"/>
    <mergeCell ref="I13:R13"/>
    <mergeCell ref="A14:H14"/>
    <mergeCell ref="J14:R14"/>
    <mergeCell ref="B9:H9"/>
    <mergeCell ref="I9:R9"/>
    <mergeCell ref="A10:H10"/>
    <mergeCell ref="J10:R10"/>
    <mergeCell ref="B11:H11"/>
    <mergeCell ref="I11:R11"/>
    <mergeCell ref="A6:H6"/>
    <mergeCell ref="J6:R6"/>
    <mergeCell ref="B7:H7"/>
    <mergeCell ref="I7:R7"/>
    <mergeCell ref="A8:H8"/>
    <mergeCell ref="J8:R8"/>
    <mergeCell ref="B5:H5"/>
    <mergeCell ref="I5:R5"/>
    <mergeCell ref="A1:R1"/>
    <mergeCell ref="A2:R2"/>
    <mergeCell ref="B3:H3"/>
    <mergeCell ref="I3:R3"/>
    <mergeCell ref="A4:H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theme="7" tint="0.39997558519241921"/>
    <pageSetUpPr fitToPage="1"/>
  </sheetPr>
  <dimension ref="A1:P69"/>
  <sheetViews>
    <sheetView workbookViewId="0">
      <selection activeCell="S11" sqref="S11"/>
    </sheetView>
  </sheetViews>
  <sheetFormatPr defaultRowHeight="12.75" x14ac:dyDescent="0.2"/>
  <cols>
    <col min="1" max="1" width="19.7109375" customWidth="1"/>
    <col min="2" max="2" width="16" bestFit="1" customWidth="1"/>
    <col min="7" max="7" width="16" style="73" bestFit="1" customWidth="1"/>
    <col min="12" max="12" width="16" bestFit="1" customWidth="1"/>
    <col min="16" max="16" width="11.42578125" bestFit="1" customWidth="1"/>
  </cols>
  <sheetData>
    <row r="1" spans="1:16" ht="24" thickBot="1" x14ac:dyDescent="0.4">
      <c r="A1" s="147" t="s">
        <v>265</v>
      </c>
    </row>
    <row r="2" spans="1:16" ht="19.5" thickBot="1" x14ac:dyDescent="0.35">
      <c r="B2" s="105"/>
      <c r="C2" s="146"/>
      <c r="D2" s="145"/>
      <c r="E2" s="144"/>
      <c r="G2" s="105"/>
      <c r="H2" s="143"/>
      <c r="I2" s="142"/>
      <c r="J2" s="141"/>
      <c r="L2" s="105"/>
      <c r="M2" s="140"/>
      <c r="N2" s="139"/>
      <c r="O2" s="138"/>
      <c r="P2" s="137" t="s">
        <v>266</v>
      </c>
    </row>
    <row r="3" spans="1:16" ht="19.5" thickBot="1" x14ac:dyDescent="0.35">
      <c r="B3" s="136" t="s">
        <v>267</v>
      </c>
      <c r="C3" s="135"/>
      <c r="D3" s="120"/>
      <c r="E3" s="119"/>
      <c r="G3" s="100" t="s">
        <v>267</v>
      </c>
      <c r="H3" s="134"/>
      <c r="I3" s="133"/>
      <c r="J3" s="132"/>
      <c r="L3" s="100" t="s">
        <v>267</v>
      </c>
      <c r="M3" s="131"/>
      <c r="N3" s="130"/>
      <c r="O3" s="129"/>
      <c r="P3" s="128">
        <v>4.99E-2</v>
      </c>
    </row>
    <row r="4" spans="1:16" ht="15.75" x14ac:dyDescent="0.25">
      <c r="A4" s="126" t="s">
        <v>268</v>
      </c>
      <c r="B4" s="95" t="s">
        <v>25</v>
      </c>
      <c r="C4" s="599" t="s">
        <v>269</v>
      </c>
      <c r="D4" s="600"/>
      <c r="E4" s="601"/>
      <c r="F4" s="99"/>
      <c r="G4" s="95" t="s">
        <v>25</v>
      </c>
      <c r="H4" s="602" t="s">
        <v>270</v>
      </c>
      <c r="I4" s="603"/>
      <c r="J4" s="604"/>
      <c r="K4" s="99"/>
      <c r="L4" s="95" t="s">
        <v>25</v>
      </c>
      <c r="M4" s="586" t="s">
        <v>271</v>
      </c>
      <c r="N4" s="587"/>
      <c r="O4" s="588"/>
    </row>
    <row r="5" spans="1:16" ht="18.75" x14ac:dyDescent="0.3">
      <c r="A5" s="126" t="s">
        <v>272</v>
      </c>
      <c r="B5" s="95" t="s">
        <v>273</v>
      </c>
      <c r="C5" s="589">
        <v>1</v>
      </c>
      <c r="D5" s="590"/>
      <c r="E5" s="591"/>
      <c r="F5" s="98"/>
      <c r="G5" s="95" t="s">
        <v>273</v>
      </c>
      <c r="H5" s="592">
        <v>2</v>
      </c>
      <c r="I5" s="593"/>
      <c r="J5" s="594"/>
      <c r="K5" s="127"/>
      <c r="L5" s="95" t="s">
        <v>273</v>
      </c>
      <c r="M5" s="595">
        <v>3</v>
      </c>
      <c r="N5" s="596"/>
      <c r="O5" s="597"/>
    </row>
    <row r="6" spans="1:16" ht="15.75" x14ac:dyDescent="0.25">
      <c r="A6" s="126" t="s">
        <v>274</v>
      </c>
      <c r="B6" s="95" t="s">
        <v>275</v>
      </c>
      <c r="C6" s="125" t="s">
        <v>276</v>
      </c>
      <c r="D6" s="125" t="s">
        <v>277</v>
      </c>
      <c r="E6" s="125" t="s">
        <v>278</v>
      </c>
      <c r="F6" s="93"/>
      <c r="G6" s="95" t="s">
        <v>275</v>
      </c>
      <c r="H6" s="124" t="s">
        <v>276</v>
      </c>
      <c r="I6" s="124" t="s">
        <v>277</v>
      </c>
      <c r="J6" s="124" t="s">
        <v>278</v>
      </c>
      <c r="K6" s="123"/>
      <c r="L6" s="95" t="s">
        <v>275</v>
      </c>
      <c r="M6" s="122" t="s">
        <v>276</v>
      </c>
      <c r="N6" s="122" t="s">
        <v>277</v>
      </c>
      <c r="O6" s="122" t="s">
        <v>278</v>
      </c>
    </row>
    <row r="7" spans="1:16" ht="15" x14ac:dyDescent="0.25">
      <c r="B7" s="121"/>
      <c r="C7" s="120"/>
      <c r="D7" s="120"/>
      <c r="E7" s="119"/>
      <c r="G7" s="89"/>
      <c r="H7" s="118"/>
      <c r="I7" s="117"/>
      <c r="J7" s="116"/>
      <c r="K7" s="115"/>
      <c r="L7" s="89"/>
      <c r="M7" s="114"/>
      <c r="N7" s="113"/>
      <c r="O7" s="112"/>
    </row>
    <row r="8" spans="1:16" x14ac:dyDescent="0.2">
      <c r="A8" s="598" t="s">
        <v>279</v>
      </c>
      <c r="B8" s="85">
        <v>5000</v>
      </c>
      <c r="C8" s="79">
        <f t="shared" ref="C8:E15" si="0">$P$3+A61</f>
        <v>0.16639999999999999</v>
      </c>
      <c r="D8" s="79">
        <f t="shared" si="0"/>
        <v>0.16889999999999999</v>
      </c>
      <c r="E8" s="79">
        <f t="shared" si="0"/>
        <v>0.1714</v>
      </c>
      <c r="F8" s="74"/>
      <c r="G8" s="84">
        <v>5000</v>
      </c>
      <c r="H8" s="79">
        <f>$P$3+D61</f>
        <v>0.1699</v>
      </c>
      <c r="I8" s="79">
        <f>$P$3+E61</f>
        <v>0.1729</v>
      </c>
      <c r="J8" s="79">
        <f>$P$3+F61</f>
        <v>0.1749</v>
      </c>
      <c r="K8" s="74"/>
      <c r="L8" s="84">
        <v>5000</v>
      </c>
      <c r="M8" s="79">
        <f>$P$3+G61</f>
        <v>0.1739</v>
      </c>
      <c r="N8" s="79">
        <f>$P$3+H61</f>
        <v>0.1764</v>
      </c>
      <c r="O8" s="79">
        <f>$P$3+I61</f>
        <v>0.1789</v>
      </c>
    </row>
    <row r="9" spans="1:16" x14ac:dyDescent="0.2">
      <c r="A9" s="598"/>
      <c r="B9" s="83">
        <v>9999</v>
      </c>
      <c r="C9" s="150">
        <f t="shared" si="0"/>
        <v>7.6399999999999996E-2</v>
      </c>
      <c r="D9" s="150">
        <f t="shared" si="0"/>
        <v>7.8899999999999998E-2</v>
      </c>
      <c r="E9" s="150">
        <f t="shared" si="0"/>
        <v>8.14E-2</v>
      </c>
      <c r="F9" s="74"/>
      <c r="G9" s="82">
        <v>9999</v>
      </c>
      <c r="H9" s="150">
        <f t="shared" ref="H9:H15" si="1">$P$3+D62</f>
        <v>7.9899999999999999E-2</v>
      </c>
      <c r="I9" s="150">
        <f t="shared" ref="I9:I15" si="2">$P$3+E62</f>
        <v>8.2900000000000001E-2</v>
      </c>
      <c r="J9" s="150">
        <f t="shared" ref="J9:J15" si="3">$P$3+F62</f>
        <v>8.4900000000000003E-2</v>
      </c>
      <c r="K9" s="74"/>
      <c r="L9" s="82">
        <v>9999</v>
      </c>
      <c r="M9" s="150">
        <f t="shared" ref="M9:M15" si="4">$P$3+G62</f>
        <v>8.2900000000000001E-2</v>
      </c>
      <c r="N9" s="150">
        <f t="shared" ref="N9:N15" si="5">$P$3+H62</f>
        <v>8.6400000000000005E-2</v>
      </c>
      <c r="O9" s="150">
        <f t="shared" ref="O9:O15" si="6">$P$3+I62</f>
        <v>8.8899999999999993E-2</v>
      </c>
    </row>
    <row r="10" spans="1:16" x14ac:dyDescent="0.2">
      <c r="A10" s="598"/>
      <c r="B10" s="85">
        <v>14999</v>
      </c>
      <c r="C10" s="79">
        <f t="shared" si="0"/>
        <v>5.6399999999999999E-2</v>
      </c>
      <c r="D10" s="79">
        <f t="shared" si="0"/>
        <v>5.8900000000000001E-2</v>
      </c>
      <c r="E10" s="79">
        <f t="shared" si="0"/>
        <v>6.1399999999999996E-2</v>
      </c>
      <c r="F10" s="74"/>
      <c r="G10" s="84">
        <v>14999</v>
      </c>
      <c r="H10" s="79">
        <f t="shared" si="1"/>
        <v>5.8900000000000001E-2</v>
      </c>
      <c r="I10" s="79">
        <f t="shared" si="2"/>
        <v>6.1399999999999996E-2</v>
      </c>
      <c r="J10" s="79">
        <f t="shared" si="3"/>
        <v>6.3899999999999998E-2</v>
      </c>
      <c r="K10" s="74"/>
      <c r="L10" s="84">
        <v>14999</v>
      </c>
      <c r="M10" s="79">
        <f t="shared" si="4"/>
        <v>6.3899999999999998E-2</v>
      </c>
      <c r="N10" s="79">
        <f t="shared" si="5"/>
        <v>6.6400000000000001E-2</v>
      </c>
      <c r="O10" s="79">
        <f t="shared" si="6"/>
        <v>6.8900000000000003E-2</v>
      </c>
    </row>
    <row r="11" spans="1:16" x14ac:dyDescent="0.2">
      <c r="A11" s="598"/>
      <c r="B11" s="83">
        <v>19999</v>
      </c>
      <c r="C11" s="150">
        <f t="shared" si="0"/>
        <v>4.6399999999999997E-2</v>
      </c>
      <c r="D11" s="150">
        <f t="shared" si="0"/>
        <v>4.8899999999999999E-2</v>
      </c>
      <c r="E11" s="150">
        <f t="shared" si="0"/>
        <v>5.1400000000000001E-2</v>
      </c>
      <c r="F11" s="74"/>
      <c r="G11" s="82">
        <v>19999</v>
      </c>
      <c r="H11" s="150">
        <f t="shared" si="1"/>
        <v>4.99E-2</v>
      </c>
      <c r="I11" s="150">
        <f t="shared" si="2"/>
        <v>5.2899999999999996E-2</v>
      </c>
      <c r="J11" s="150">
        <f t="shared" si="3"/>
        <v>5.4899999999999997E-2</v>
      </c>
      <c r="K11" s="74"/>
      <c r="L11" s="82">
        <v>19999</v>
      </c>
      <c r="M11" s="150">
        <f t="shared" si="4"/>
        <v>5.3899999999999997E-2</v>
      </c>
      <c r="N11" s="150">
        <f t="shared" si="5"/>
        <v>5.6399999999999999E-2</v>
      </c>
      <c r="O11" s="150">
        <f t="shared" si="6"/>
        <v>5.8900000000000001E-2</v>
      </c>
    </row>
    <row r="12" spans="1:16" x14ac:dyDescent="0.2">
      <c r="A12" s="598"/>
      <c r="B12" s="85">
        <v>24999</v>
      </c>
      <c r="C12" s="79">
        <f t="shared" si="0"/>
        <v>4.1399999999999999E-2</v>
      </c>
      <c r="D12" s="79">
        <f t="shared" si="0"/>
        <v>4.3900000000000002E-2</v>
      </c>
      <c r="E12" s="79">
        <f t="shared" si="0"/>
        <v>4.6399999999999997E-2</v>
      </c>
      <c r="F12" s="74"/>
      <c r="G12" s="84">
        <v>24999</v>
      </c>
      <c r="H12" s="79">
        <f t="shared" si="1"/>
        <v>4.4899999999999995E-2</v>
      </c>
      <c r="I12" s="79">
        <f t="shared" si="2"/>
        <v>4.7899999999999998E-2</v>
      </c>
      <c r="J12" s="79">
        <f t="shared" si="3"/>
        <v>4.99E-2</v>
      </c>
      <c r="K12" s="74"/>
      <c r="L12" s="84">
        <v>24999</v>
      </c>
      <c r="M12" s="79">
        <f t="shared" si="4"/>
        <v>4.7899999999999998E-2</v>
      </c>
      <c r="N12" s="79">
        <f t="shared" si="5"/>
        <v>5.1400000000000001E-2</v>
      </c>
      <c r="O12" s="79">
        <f t="shared" si="6"/>
        <v>5.2899999999999996E-2</v>
      </c>
    </row>
    <row r="13" spans="1:16" x14ac:dyDescent="0.2">
      <c r="A13" s="598"/>
      <c r="B13" s="83">
        <v>29999</v>
      </c>
      <c r="C13" s="150">
        <f t="shared" si="0"/>
        <v>3.9899999999999998E-2</v>
      </c>
      <c r="D13" s="150">
        <f t="shared" si="0"/>
        <v>4.1399999999999999E-2</v>
      </c>
      <c r="E13" s="150">
        <f t="shared" si="0"/>
        <v>4.3900000000000002E-2</v>
      </c>
      <c r="F13" s="74"/>
      <c r="G13" s="82">
        <v>29999</v>
      </c>
      <c r="H13" s="150">
        <f t="shared" si="1"/>
        <v>4.1399999999999999E-2</v>
      </c>
      <c r="I13" s="150">
        <f t="shared" si="2"/>
        <v>4.3900000000000002E-2</v>
      </c>
      <c r="J13" s="150">
        <f t="shared" si="3"/>
        <v>4.6399999999999997E-2</v>
      </c>
      <c r="K13" s="74"/>
      <c r="L13" s="82">
        <v>29999</v>
      </c>
      <c r="M13" s="150">
        <f t="shared" si="4"/>
        <v>4.4899999999999995E-2</v>
      </c>
      <c r="N13" s="150">
        <f t="shared" si="5"/>
        <v>4.7899999999999998E-2</v>
      </c>
      <c r="O13" s="150">
        <f t="shared" si="6"/>
        <v>4.99E-2</v>
      </c>
    </row>
    <row r="14" spans="1:16" x14ac:dyDescent="0.2">
      <c r="A14" s="598"/>
      <c r="B14" s="85">
        <v>34999</v>
      </c>
      <c r="C14" s="79">
        <f t="shared" si="0"/>
        <v>3.8899999999999997E-2</v>
      </c>
      <c r="D14" s="79">
        <f t="shared" si="0"/>
        <v>3.9899999999999998E-2</v>
      </c>
      <c r="E14" s="79">
        <f t="shared" si="0"/>
        <v>4.1399999999999999E-2</v>
      </c>
      <c r="F14" s="74"/>
      <c r="G14" s="84">
        <v>34999</v>
      </c>
      <c r="H14" s="79">
        <f t="shared" si="1"/>
        <v>3.9899999999999998E-2</v>
      </c>
      <c r="I14" s="79">
        <f t="shared" si="2"/>
        <v>4.1399999999999999E-2</v>
      </c>
      <c r="J14" s="79">
        <f t="shared" si="3"/>
        <v>4.3900000000000002E-2</v>
      </c>
      <c r="K14" s="74"/>
      <c r="L14" s="84">
        <v>34999</v>
      </c>
      <c r="M14" s="79">
        <f t="shared" si="4"/>
        <v>4.2900000000000001E-2</v>
      </c>
      <c r="N14" s="79">
        <f t="shared" si="5"/>
        <v>4.5899999999999996E-2</v>
      </c>
      <c r="O14" s="79">
        <f t="shared" si="6"/>
        <v>4.7899999999999998E-2</v>
      </c>
    </row>
    <row r="15" spans="1:16" x14ac:dyDescent="0.2">
      <c r="A15" s="598"/>
      <c r="B15" s="83">
        <v>49999</v>
      </c>
      <c r="C15" s="150">
        <f t="shared" si="0"/>
        <v>3.7899999999999996E-2</v>
      </c>
      <c r="D15" s="150">
        <f t="shared" si="0"/>
        <v>3.8899999999999997E-2</v>
      </c>
      <c r="E15" s="150">
        <f t="shared" si="0"/>
        <v>3.9899999999999998E-2</v>
      </c>
      <c r="F15" s="74"/>
      <c r="G15" s="82">
        <v>49999</v>
      </c>
      <c r="H15" s="150">
        <f t="shared" si="1"/>
        <v>3.8899999999999997E-2</v>
      </c>
      <c r="I15" s="150">
        <f t="shared" si="2"/>
        <v>3.9899999999999998E-2</v>
      </c>
      <c r="J15" s="150">
        <f t="shared" si="3"/>
        <v>4.1399999999999999E-2</v>
      </c>
      <c r="K15" s="74"/>
      <c r="L15" s="82">
        <v>49999</v>
      </c>
      <c r="M15" s="150">
        <f t="shared" si="4"/>
        <v>4.1399999999999999E-2</v>
      </c>
      <c r="N15" s="150">
        <f t="shared" si="5"/>
        <v>4.3900000000000002E-2</v>
      </c>
      <c r="O15" s="150">
        <f t="shared" si="6"/>
        <v>4.6399999999999997E-2</v>
      </c>
    </row>
    <row r="16" spans="1:16" ht="15" x14ac:dyDescent="0.25">
      <c r="A16" s="598"/>
      <c r="B16" s="80" t="s">
        <v>280</v>
      </c>
      <c r="C16" s="79" t="s">
        <v>223</v>
      </c>
      <c r="D16" s="79" t="s">
        <v>223</v>
      </c>
      <c r="E16" s="79" t="s">
        <v>223</v>
      </c>
      <c r="F16" s="74"/>
      <c r="G16" s="80" t="s">
        <v>280</v>
      </c>
      <c r="H16" s="79" t="s">
        <v>223</v>
      </c>
      <c r="I16" s="79" t="s">
        <v>223</v>
      </c>
      <c r="J16" s="79" t="s">
        <v>223</v>
      </c>
      <c r="K16" s="74"/>
      <c r="L16" s="80" t="s">
        <v>280</v>
      </c>
      <c r="M16" s="79" t="s">
        <v>223</v>
      </c>
      <c r="N16" s="79" t="s">
        <v>223</v>
      </c>
      <c r="O16" s="79" t="s">
        <v>223</v>
      </c>
    </row>
    <row r="17" spans="1:15" ht="15" x14ac:dyDescent="0.25">
      <c r="A17" s="598"/>
      <c r="B17" s="95" t="s">
        <v>281</v>
      </c>
      <c r="C17" s="111" t="s">
        <v>223</v>
      </c>
      <c r="D17" s="111" t="s">
        <v>223</v>
      </c>
      <c r="E17" s="111" t="s">
        <v>223</v>
      </c>
      <c r="F17" s="74"/>
      <c r="G17" s="76" t="s">
        <v>281</v>
      </c>
      <c r="H17" s="110" t="s">
        <v>223</v>
      </c>
      <c r="I17" s="110" t="s">
        <v>223</v>
      </c>
      <c r="J17" s="110" t="s">
        <v>223</v>
      </c>
      <c r="K17" s="74"/>
      <c r="L17" s="76" t="s">
        <v>281</v>
      </c>
      <c r="M17" s="109" t="s">
        <v>223</v>
      </c>
      <c r="N17" s="109" t="s">
        <v>223</v>
      </c>
      <c r="O17" s="109" t="s">
        <v>223</v>
      </c>
    </row>
    <row r="19" spans="1:15" x14ac:dyDescent="0.2">
      <c r="B19" s="105"/>
      <c r="C19" s="108"/>
      <c r="D19" s="107"/>
      <c r="E19" s="106"/>
      <c r="G19" s="105"/>
      <c r="H19" s="104"/>
      <c r="I19" s="103"/>
      <c r="J19" s="102"/>
    </row>
    <row r="20" spans="1:15" ht="15" x14ac:dyDescent="0.25">
      <c r="B20" s="100" t="s">
        <v>267</v>
      </c>
      <c r="C20" s="101"/>
      <c r="D20" s="91"/>
      <c r="E20" s="90"/>
      <c r="G20" s="100" t="s">
        <v>267</v>
      </c>
      <c r="H20" s="88"/>
      <c r="I20" s="87"/>
      <c r="J20" s="86"/>
    </row>
    <row r="21" spans="1:15" ht="15.75" x14ac:dyDescent="0.25">
      <c r="B21" s="95" t="s">
        <v>25</v>
      </c>
      <c r="C21" s="605" t="s">
        <v>282</v>
      </c>
      <c r="D21" s="606"/>
      <c r="E21" s="607"/>
      <c r="F21" s="99"/>
      <c r="G21" s="95" t="s">
        <v>25</v>
      </c>
      <c r="H21" s="608" t="s">
        <v>283</v>
      </c>
      <c r="I21" s="609"/>
      <c r="J21" s="610"/>
      <c r="K21" s="99"/>
      <c r="L21" s="99"/>
    </row>
    <row r="22" spans="1:15" ht="18.75" x14ac:dyDescent="0.3">
      <c r="B22" s="95" t="s">
        <v>273</v>
      </c>
      <c r="C22" s="611">
        <v>4</v>
      </c>
      <c r="D22" s="612"/>
      <c r="E22" s="613"/>
      <c r="F22" s="98"/>
      <c r="G22" s="95" t="s">
        <v>273</v>
      </c>
      <c r="H22" s="614">
        <v>5</v>
      </c>
      <c r="I22" s="615"/>
      <c r="J22" s="616"/>
      <c r="K22" s="98"/>
      <c r="L22" s="98"/>
    </row>
    <row r="23" spans="1:15" ht="15.75" x14ac:dyDescent="0.25">
      <c r="B23" s="95" t="s">
        <v>275</v>
      </c>
      <c r="C23" s="97" t="s">
        <v>276</v>
      </c>
      <c r="D23" s="96" t="s">
        <v>277</v>
      </c>
      <c r="E23" s="96" t="s">
        <v>284</v>
      </c>
      <c r="F23" s="93"/>
      <c r="G23" s="95" t="s">
        <v>275</v>
      </c>
      <c r="H23" s="94" t="s">
        <v>276</v>
      </c>
      <c r="I23" s="94" t="s">
        <v>277</v>
      </c>
      <c r="J23" s="94" t="s">
        <v>278</v>
      </c>
      <c r="K23" s="93"/>
      <c r="L23" s="93"/>
    </row>
    <row r="24" spans="1:15" x14ac:dyDescent="0.2">
      <c r="B24" s="89"/>
      <c r="C24" s="92"/>
      <c r="D24" s="91"/>
      <c r="E24" s="90"/>
      <c r="G24" s="89"/>
      <c r="H24" s="88"/>
      <c r="I24" s="87"/>
      <c r="J24" s="86"/>
    </row>
    <row r="25" spans="1:15" x14ac:dyDescent="0.2">
      <c r="A25" s="598" t="s">
        <v>279</v>
      </c>
      <c r="B25" s="85">
        <v>5000</v>
      </c>
      <c r="C25" s="79">
        <f t="shared" ref="C25:E32" si="7">$P$3+J61</f>
        <v>0.18140000000000001</v>
      </c>
      <c r="D25" s="79">
        <f t="shared" si="7"/>
        <v>0.18390000000000001</v>
      </c>
      <c r="E25" s="79">
        <f t="shared" si="7"/>
        <v>0.18640000000000001</v>
      </c>
      <c r="F25" s="74"/>
      <c r="G25" s="84">
        <v>5000</v>
      </c>
      <c r="H25" s="79">
        <f>$P$3+M61</f>
        <v>0.18390000000000001</v>
      </c>
      <c r="I25" s="79">
        <f>$P$3+N61</f>
        <v>0.18640000000000001</v>
      </c>
      <c r="J25" s="79">
        <f>$P$3+O61</f>
        <v>0.18890000000000001</v>
      </c>
      <c r="K25" s="74"/>
      <c r="L25" s="74"/>
    </row>
    <row r="26" spans="1:15" x14ac:dyDescent="0.2">
      <c r="A26" s="598"/>
      <c r="B26" s="83">
        <v>9999</v>
      </c>
      <c r="C26" s="81">
        <f t="shared" si="7"/>
        <v>9.1399999999999995E-2</v>
      </c>
      <c r="D26" s="81">
        <f t="shared" si="7"/>
        <v>9.3899999999999997E-2</v>
      </c>
      <c r="E26" s="81">
        <f t="shared" si="7"/>
        <v>9.64E-2</v>
      </c>
      <c r="F26" s="74"/>
      <c r="G26" s="82">
        <v>9999</v>
      </c>
      <c r="H26" s="81">
        <f t="shared" ref="H26:H32" si="8">$P$3+0.094</f>
        <v>0.1439</v>
      </c>
      <c r="I26" s="81">
        <f t="shared" ref="I26:I32" si="9">$P$3+0.0965</f>
        <v>0.1464</v>
      </c>
      <c r="J26" s="81">
        <f t="shared" ref="J26:J32" si="10">$P$3+0.099</f>
        <v>0.1489</v>
      </c>
      <c r="K26" s="74"/>
      <c r="L26" s="74"/>
    </row>
    <row r="27" spans="1:15" x14ac:dyDescent="0.2">
      <c r="A27" s="598"/>
      <c r="B27" s="85">
        <v>14999</v>
      </c>
      <c r="C27" s="79">
        <f t="shared" si="7"/>
        <v>8.3900000000000002E-2</v>
      </c>
      <c r="D27" s="79">
        <f t="shared" si="7"/>
        <v>8.6400000000000005E-2</v>
      </c>
      <c r="E27" s="79">
        <f t="shared" si="7"/>
        <v>8.8899999999999993E-2</v>
      </c>
      <c r="F27" s="74"/>
      <c r="G27" s="84">
        <v>14999</v>
      </c>
      <c r="H27" s="79">
        <f t="shared" si="8"/>
        <v>0.1439</v>
      </c>
      <c r="I27" s="79">
        <f t="shared" si="9"/>
        <v>0.1464</v>
      </c>
      <c r="J27" s="79">
        <f t="shared" si="10"/>
        <v>0.1489</v>
      </c>
      <c r="K27" s="74"/>
      <c r="L27" s="74"/>
    </row>
    <row r="28" spans="1:15" x14ac:dyDescent="0.2">
      <c r="A28" s="598"/>
      <c r="B28" s="83">
        <v>19999</v>
      </c>
      <c r="C28" s="81">
        <f t="shared" si="7"/>
        <v>7.6399999999999996E-2</v>
      </c>
      <c r="D28" s="81">
        <f t="shared" si="7"/>
        <v>7.8899999999999998E-2</v>
      </c>
      <c r="E28" s="81">
        <f t="shared" si="7"/>
        <v>8.14E-2</v>
      </c>
      <c r="F28" s="74"/>
      <c r="G28" s="82">
        <v>19999</v>
      </c>
      <c r="H28" s="81">
        <f t="shared" si="8"/>
        <v>0.1439</v>
      </c>
      <c r="I28" s="81">
        <f t="shared" si="9"/>
        <v>0.1464</v>
      </c>
      <c r="J28" s="81">
        <f t="shared" si="10"/>
        <v>0.1489</v>
      </c>
      <c r="K28" s="74"/>
      <c r="L28" s="74"/>
    </row>
    <row r="29" spans="1:15" x14ac:dyDescent="0.2">
      <c r="A29" s="598"/>
      <c r="B29" s="85">
        <v>24999</v>
      </c>
      <c r="C29" s="79">
        <f t="shared" si="7"/>
        <v>6.8900000000000003E-2</v>
      </c>
      <c r="D29" s="79">
        <f t="shared" si="7"/>
        <v>7.1400000000000005E-2</v>
      </c>
      <c r="E29" s="79">
        <f t="shared" si="7"/>
        <v>7.3899999999999993E-2</v>
      </c>
      <c r="F29" s="74"/>
      <c r="G29" s="84">
        <v>24999</v>
      </c>
      <c r="H29" s="79">
        <f t="shared" si="8"/>
        <v>0.1439</v>
      </c>
      <c r="I29" s="79">
        <f t="shared" si="9"/>
        <v>0.1464</v>
      </c>
      <c r="J29" s="79">
        <f t="shared" si="10"/>
        <v>0.1489</v>
      </c>
      <c r="K29" s="74"/>
      <c r="L29" s="74"/>
    </row>
    <row r="30" spans="1:15" x14ac:dyDescent="0.2">
      <c r="A30" s="598"/>
      <c r="B30" s="83">
        <v>29999</v>
      </c>
      <c r="C30" s="81">
        <f t="shared" si="7"/>
        <v>6.6400000000000001E-2</v>
      </c>
      <c r="D30" s="81">
        <f t="shared" si="7"/>
        <v>6.8900000000000003E-2</v>
      </c>
      <c r="E30" s="81">
        <f t="shared" si="7"/>
        <v>7.1400000000000005E-2</v>
      </c>
      <c r="F30" s="74"/>
      <c r="G30" s="82">
        <v>29999</v>
      </c>
      <c r="H30" s="81">
        <f t="shared" si="8"/>
        <v>0.1439</v>
      </c>
      <c r="I30" s="81">
        <f t="shared" si="9"/>
        <v>0.1464</v>
      </c>
      <c r="J30" s="81">
        <f t="shared" si="10"/>
        <v>0.1489</v>
      </c>
      <c r="K30" s="74"/>
      <c r="L30" s="74"/>
    </row>
    <row r="31" spans="1:15" x14ac:dyDescent="0.2">
      <c r="A31" s="598"/>
      <c r="B31" s="85">
        <v>34999</v>
      </c>
      <c r="C31" s="79">
        <f t="shared" si="7"/>
        <v>6.3899999999999998E-2</v>
      </c>
      <c r="D31" s="79">
        <f t="shared" si="7"/>
        <v>6.6400000000000001E-2</v>
      </c>
      <c r="E31" s="79">
        <f t="shared" si="7"/>
        <v>6.8900000000000003E-2</v>
      </c>
      <c r="F31" s="74"/>
      <c r="G31" s="84">
        <v>34999</v>
      </c>
      <c r="H31" s="79">
        <f t="shared" si="8"/>
        <v>0.1439</v>
      </c>
      <c r="I31" s="79">
        <f t="shared" si="9"/>
        <v>0.1464</v>
      </c>
      <c r="J31" s="79">
        <f t="shared" si="10"/>
        <v>0.1489</v>
      </c>
      <c r="K31" s="74"/>
      <c r="L31" s="74"/>
    </row>
    <row r="32" spans="1:15" x14ac:dyDescent="0.2">
      <c r="A32" s="598"/>
      <c r="B32" s="83">
        <v>49999</v>
      </c>
      <c r="C32" s="81">
        <f t="shared" si="7"/>
        <v>6.1399999999999996E-2</v>
      </c>
      <c r="D32" s="81">
        <f t="shared" si="7"/>
        <v>6.3899999999999998E-2</v>
      </c>
      <c r="E32" s="81">
        <f t="shared" si="7"/>
        <v>6.6400000000000001E-2</v>
      </c>
      <c r="F32" s="74"/>
      <c r="G32" s="82">
        <v>49999</v>
      </c>
      <c r="H32" s="81">
        <f t="shared" si="8"/>
        <v>0.1439</v>
      </c>
      <c r="I32" s="81">
        <f t="shared" si="9"/>
        <v>0.1464</v>
      </c>
      <c r="J32" s="81">
        <f t="shared" si="10"/>
        <v>0.1489</v>
      </c>
      <c r="K32" s="74"/>
      <c r="L32" s="74"/>
    </row>
    <row r="33" spans="1:12" ht="15" x14ac:dyDescent="0.25">
      <c r="A33" s="598"/>
      <c r="B33" s="80" t="s">
        <v>280</v>
      </c>
      <c r="C33" s="79" t="s">
        <v>223</v>
      </c>
      <c r="D33" s="79" t="s">
        <v>223</v>
      </c>
      <c r="E33" s="79" t="s">
        <v>223</v>
      </c>
      <c r="F33" s="74"/>
      <c r="G33" s="80" t="s">
        <v>280</v>
      </c>
      <c r="H33" s="79" t="s">
        <v>223</v>
      </c>
      <c r="I33" s="79" t="s">
        <v>223</v>
      </c>
      <c r="J33" s="79" t="s">
        <v>223</v>
      </c>
      <c r="K33" s="74"/>
      <c r="L33" s="74"/>
    </row>
    <row r="34" spans="1:12" ht="15" x14ac:dyDescent="0.25">
      <c r="A34" s="598"/>
      <c r="B34" s="78" t="s">
        <v>281</v>
      </c>
      <c r="C34" s="77" t="s">
        <v>223</v>
      </c>
      <c r="D34" s="77" t="s">
        <v>223</v>
      </c>
      <c r="E34" s="77" t="s">
        <v>223</v>
      </c>
      <c r="F34" s="74"/>
      <c r="G34" s="76" t="s">
        <v>281</v>
      </c>
      <c r="H34" s="75" t="s">
        <v>223</v>
      </c>
      <c r="I34" s="75" t="s">
        <v>223</v>
      </c>
      <c r="J34" s="75" t="s">
        <v>223</v>
      </c>
      <c r="K34" s="74"/>
      <c r="L34" s="74"/>
    </row>
    <row r="60" spans="1:15" hidden="1" x14ac:dyDescent="0.2"/>
    <row r="61" spans="1:15" hidden="1" x14ac:dyDescent="0.2">
      <c r="A61" s="74">
        <v>0.11650000000000001</v>
      </c>
      <c r="B61" s="74">
        <v>0.11900000000000001</v>
      </c>
      <c r="C61" s="74">
        <v>0.12150000000000001</v>
      </c>
      <c r="D61" s="74">
        <v>0.12000000000000001</v>
      </c>
      <c r="E61" s="74">
        <v>0.12300000000000001</v>
      </c>
      <c r="F61" s="74">
        <v>0.12499999999999999</v>
      </c>
      <c r="G61" s="74">
        <v>0.12399999999999999</v>
      </c>
      <c r="H61" s="74">
        <v>0.1265</v>
      </c>
      <c r="I61" s="74">
        <v>0.129</v>
      </c>
      <c r="J61" s="74">
        <v>0.13150000000000001</v>
      </c>
      <c r="K61" s="74">
        <v>0.13400000000000001</v>
      </c>
      <c r="L61" s="74">
        <v>0.13650000000000001</v>
      </c>
      <c r="M61" s="74">
        <v>0.13400000000000001</v>
      </c>
      <c r="N61" s="74">
        <v>0.13650000000000001</v>
      </c>
      <c r="O61" s="74">
        <v>0.13900000000000001</v>
      </c>
    </row>
    <row r="62" spans="1:15" hidden="1" x14ac:dyDescent="0.2">
      <c r="A62" s="74">
        <v>2.6499999999999996E-2</v>
      </c>
      <c r="B62" s="74">
        <v>2.8999999999999998E-2</v>
      </c>
      <c r="C62" s="74">
        <v>3.15E-2</v>
      </c>
      <c r="D62" s="74">
        <v>0.03</v>
      </c>
      <c r="E62" s="74">
        <v>3.3000000000000002E-2</v>
      </c>
      <c r="F62" s="74">
        <v>3.5000000000000003E-2</v>
      </c>
      <c r="G62" s="74">
        <v>3.3000000000000002E-2</v>
      </c>
      <c r="H62" s="74">
        <v>3.6500000000000005E-2</v>
      </c>
      <c r="I62" s="74">
        <v>3.8999999999999993E-2</v>
      </c>
      <c r="J62" s="74">
        <v>4.1499999999999995E-2</v>
      </c>
      <c r="K62" s="74">
        <v>4.3999999999999997E-2</v>
      </c>
      <c r="L62" s="74">
        <v>4.65E-2</v>
      </c>
      <c r="M62" s="74">
        <v>4.3999999999999997E-2</v>
      </c>
      <c r="N62" s="74">
        <v>4.65E-2</v>
      </c>
      <c r="O62" s="74">
        <v>4.9000000000000002E-2</v>
      </c>
    </row>
    <row r="63" spans="1:15" hidden="1" x14ac:dyDescent="0.2">
      <c r="A63" s="74">
        <v>6.4999999999999988E-3</v>
      </c>
      <c r="B63" s="74">
        <v>9.0000000000000011E-3</v>
      </c>
      <c r="C63" s="74">
        <v>1.1499999999999996E-2</v>
      </c>
      <c r="D63" s="74">
        <v>9.0000000000000011E-3</v>
      </c>
      <c r="E63" s="74">
        <v>1.1499999999999996E-2</v>
      </c>
      <c r="F63" s="74">
        <v>1.3999999999999999E-2</v>
      </c>
      <c r="G63" s="74">
        <v>1.3999999999999999E-2</v>
      </c>
      <c r="H63" s="74">
        <v>1.6500000000000001E-2</v>
      </c>
      <c r="I63" s="74">
        <v>1.9000000000000003E-2</v>
      </c>
      <c r="J63" s="74">
        <v>3.4000000000000002E-2</v>
      </c>
      <c r="K63" s="74">
        <v>3.6500000000000005E-2</v>
      </c>
      <c r="L63" s="74">
        <v>3.8999999999999993E-2</v>
      </c>
      <c r="M63" s="74">
        <v>3.6500000000000005E-2</v>
      </c>
      <c r="N63" s="74">
        <v>3.8999999999999993E-2</v>
      </c>
      <c r="O63" s="74">
        <v>4.1499999999999995E-2</v>
      </c>
    </row>
    <row r="64" spans="1:15" hidden="1" x14ac:dyDescent="0.2">
      <c r="A64" s="74">
        <v>-3.5000000000000031E-3</v>
      </c>
      <c r="B64" s="74">
        <v>-1.0000000000000009E-3</v>
      </c>
      <c r="C64" s="74">
        <v>1.5000000000000013E-3</v>
      </c>
      <c r="D64" s="74">
        <v>0</v>
      </c>
      <c r="E64" s="74">
        <v>2.9999999999999957E-3</v>
      </c>
      <c r="F64" s="74">
        <v>4.9999999999999975E-3</v>
      </c>
      <c r="G64" s="74">
        <v>3.9999999999999966E-3</v>
      </c>
      <c r="H64" s="74">
        <v>6.4999999999999988E-3</v>
      </c>
      <c r="I64" s="74">
        <v>9.0000000000000011E-3</v>
      </c>
      <c r="J64" s="74">
        <v>2.6499999999999996E-2</v>
      </c>
      <c r="K64" s="74">
        <v>2.8999999999999998E-2</v>
      </c>
      <c r="L64" s="74">
        <v>3.15E-2</v>
      </c>
      <c r="M64" s="74">
        <v>3.15E-2</v>
      </c>
      <c r="N64" s="74">
        <v>3.4000000000000002E-2</v>
      </c>
      <c r="O64" s="74">
        <v>3.6500000000000005E-2</v>
      </c>
    </row>
    <row r="65" spans="1:12" hidden="1" x14ac:dyDescent="0.2">
      <c r="A65" s="74">
        <v>-8.5000000000000006E-3</v>
      </c>
      <c r="B65" s="74">
        <v>-5.9999999999999984E-3</v>
      </c>
      <c r="C65" s="74">
        <v>-3.5000000000000031E-3</v>
      </c>
      <c r="D65" s="74">
        <v>-5.0000000000000044E-3</v>
      </c>
      <c r="E65" s="74">
        <v>-2.0000000000000018E-3</v>
      </c>
      <c r="F65" s="74">
        <v>0</v>
      </c>
      <c r="G65" s="74">
        <v>-2.0000000000000018E-3</v>
      </c>
      <c r="H65" s="74">
        <v>1.5000000000000013E-3</v>
      </c>
      <c r="I65" s="74">
        <v>2.9999999999999957E-3</v>
      </c>
      <c r="J65" s="74">
        <v>1.9000000000000003E-2</v>
      </c>
      <c r="K65" s="74">
        <v>2.1500000000000005E-2</v>
      </c>
      <c r="L65" s="74">
        <v>2.3999999999999994E-2</v>
      </c>
    </row>
    <row r="66" spans="1:12" hidden="1" x14ac:dyDescent="0.2">
      <c r="A66" s="74">
        <v>-1.0000000000000002E-2</v>
      </c>
      <c r="B66" s="74">
        <v>-8.5000000000000006E-3</v>
      </c>
      <c r="C66" s="74">
        <v>-5.9999999999999984E-3</v>
      </c>
      <c r="D66" s="74">
        <v>-8.5000000000000006E-3</v>
      </c>
      <c r="E66" s="74">
        <v>-5.9999999999999984E-3</v>
      </c>
      <c r="F66" s="74">
        <v>-3.5000000000000031E-3</v>
      </c>
      <c r="G66" s="74">
        <v>-5.0000000000000044E-3</v>
      </c>
      <c r="H66" s="74">
        <v>-2.0000000000000018E-3</v>
      </c>
      <c r="I66" s="74">
        <v>0</v>
      </c>
      <c r="J66" s="74">
        <v>1.6500000000000001E-2</v>
      </c>
      <c r="K66" s="74">
        <v>1.9000000000000003E-2</v>
      </c>
      <c r="L66" s="74">
        <v>2.1500000000000005E-2</v>
      </c>
    </row>
    <row r="67" spans="1:12" hidden="1" x14ac:dyDescent="0.2">
      <c r="A67" s="74">
        <v>-1.1000000000000003E-2</v>
      </c>
      <c r="B67" s="74">
        <v>-1.0000000000000002E-2</v>
      </c>
      <c r="C67" s="74">
        <v>-8.5000000000000006E-3</v>
      </c>
      <c r="D67" s="74">
        <v>-1.0000000000000002E-2</v>
      </c>
      <c r="E67" s="74">
        <v>-8.5000000000000006E-3</v>
      </c>
      <c r="F67" s="74">
        <v>-5.9999999999999984E-3</v>
      </c>
      <c r="G67" s="74">
        <v>-6.9999999999999993E-3</v>
      </c>
      <c r="H67" s="74">
        <v>-4.0000000000000036E-3</v>
      </c>
      <c r="I67" s="74">
        <v>-2.0000000000000018E-3</v>
      </c>
      <c r="J67" s="74">
        <v>1.3999999999999999E-2</v>
      </c>
      <c r="K67" s="74">
        <v>1.6500000000000001E-2</v>
      </c>
      <c r="L67" s="74">
        <v>1.9000000000000003E-2</v>
      </c>
    </row>
    <row r="68" spans="1:12" hidden="1" x14ac:dyDescent="0.2">
      <c r="A68" s="74">
        <v>-1.2000000000000004E-2</v>
      </c>
      <c r="B68" s="74">
        <v>-1.1000000000000003E-2</v>
      </c>
      <c r="C68" s="74">
        <v>-1.0000000000000002E-2</v>
      </c>
      <c r="D68" s="74">
        <v>-1.1000000000000003E-2</v>
      </c>
      <c r="E68" s="74">
        <v>-1.0000000000000002E-2</v>
      </c>
      <c r="F68" s="74">
        <v>-8.5000000000000006E-3</v>
      </c>
      <c r="G68" s="74">
        <v>-8.5000000000000006E-3</v>
      </c>
      <c r="H68" s="74">
        <v>-5.9999999999999984E-3</v>
      </c>
      <c r="I68" s="74">
        <v>-3.5000000000000031E-3</v>
      </c>
      <c r="J68" s="74">
        <v>1.1499999999999996E-2</v>
      </c>
      <c r="K68" s="74">
        <v>1.3999999999999999E-2</v>
      </c>
      <c r="L68" s="74">
        <v>1.6500000000000001E-2</v>
      </c>
    </row>
    <row r="69" spans="1:12" hidden="1" x14ac:dyDescent="0.2"/>
  </sheetData>
  <sheetProtection password="CC7A" sheet="1" objects="1" scenarios="1"/>
  <mergeCells count="12">
    <mergeCell ref="A25:A34"/>
    <mergeCell ref="C4:E4"/>
    <mergeCell ref="H4:J4"/>
    <mergeCell ref="C21:E21"/>
    <mergeCell ref="H21:J21"/>
    <mergeCell ref="C22:E22"/>
    <mergeCell ref="H22:J22"/>
    <mergeCell ref="M4:O4"/>
    <mergeCell ref="C5:E5"/>
    <mergeCell ref="H5:J5"/>
    <mergeCell ref="M5:O5"/>
    <mergeCell ref="A8:A17"/>
  </mergeCells>
  <pageMargins left="0.7" right="0.7" top="0.75" bottom="0.75" header="0.3" footer="0.3"/>
  <pageSetup scale="6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1">
    <tabColor theme="8" tint="0.79998168889431442"/>
  </sheetPr>
  <dimension ref="A1:K46"/>
  <sheetViews>
    <sheetView zoomScale="90" zoomScaleNormal="90" workbookViewId="0">
      <selection activeCell="A30" sqref="A30"/>
    </sheetView>
  </sheetViews>
  <sheetFormatPr defaultRowHeight="12.75" x14ac:dyDescent="0.2"/>
  <cols>
    <col min="1" max="1" width="21.42578125" customWidth="1"/>
    <col min="3" max="3" width="7.140625" customWidth="1"/>
    <col min="4" max="4" width="5.7109375" customWidth="1"/>
    <col min="5" max="5" width="6" customWidth="1"/>
    <col min="6" max="6" width="7.28515625" customWidth="1"/>
    <col min="7" max="7" width="9.7109375" customWidth="1"/>
    <col min="9" max="9" width="6.85546875" customWidth="1"/>
    <col min="10" max="10" width="9.140625" hidden="1" customWidth="1"/>
    <col min="11" max="11" width="6.5703125" customWidth="1"/>
  </cols>
  <sheetData>
    <row r="1" spans="1:11" ht="15.75" x14ac:dyDescent="0.25">
      <c r="A1" s="640" t="s">
        <v>285</v>
      </c>
      <c r="B1" s="640"/>
      <c r="C1" s="640"/>
      <c r="D1" s="640"/>
      <c r="E1" s="640"/>
      <c r="F1" s="640"/>
      <c r="G1" s="640"/>
      <c r="H1" s="640"/>
      <c r="I1" s="640"/>
      <c r="J1" s="640"/>
    </row>
    <row r="2" spans="1:11" ht="15.75" x14ac:dyDescent="0.25">
      <c r="A2" s="640" t="s">
        <v>286</v>
      </c>
      <c r="B2" s="640"/>
      <c r="C2" s="640"/>
      <c r="D2" s="640"/>
      <c r="E2" s="640"/>
      <c r="F2" s="640"/>
      <c r="G2" s="640"/>
      <c r="H2" s="640"/>
      <c r="I2" s="640"/>
      <c r="J2" s="640"/>
    </row>
    <row r="3" spans="1:11" ht="15.75" x14ac:dyDescent="0.25">
      <c r="A3" s="641" t="s">
        <v>287</v>
      </c>
      <c r="B3" s="641"/>
      <c r="C3" s="641"/>
      <c r="D3" s="641"/>
      <c r="E3" s="641"/>
      <c r="F3" s="641"/>
      <c r="G3" s="641"/>
      <c r="H3" s="641"/>
      <c r="I3" s="641"/>
      <c r="J3" s="641"/>
    </row>
    <row r="4" spans="1:11" ht="20.25" x14ac:dyDescent="0.3">
      <c r="A4" s="642"/>
      <c r="B4" s="642"/>
      <c r="C4" s="642"/>
      <c r="D4" s="642"/>
      <c r="E4" s="642"/>
      <c r="F4" s="642"/>
      <c r="G4" s="642"/>
      <c r="H4" s="642"/>
      <c r="I4" s="642"/>
    </row>
    <row r="5" spans="1:11" ht="7.5" customHeight="1" x14ac:dyDescent="0.25">
      <c r="A5" s="643"/>
      <c r="B5" s="643"/>
      <c r="C5" s="643"/>
      <c r="D5" s="643"/>
      <c r="E5" s="643"/>
      <c r="F5" s="643"/>
      <c r="G5" s="643"/>
      <c r="H5" s="643"/>
      <c r="I5" s="643"/>
      <c r="J5" s="643"/>
      <c r="K5" s="36"/>
    </row>
    <row r="6" spans="1:11" ht="15" x14ac:dyDescent="0.2">
      <c r="A6" s="213" t="s">
        <v>288</v>
      </c>
      <c r="B6" s="626"/>
      <c r="C6" s="626"/>
      <c r="D6" s="163"/>
      <c r="E6" s="627" t="s">
        <v>289</v>
      </c>
      <c r="F6" s="627"/>
      <c r="G6" s="627"/>
      <c r="H6" s="626"/>
      <c r="I6" s="626"/>
      <c r="J6" s="164"/>
      <c r="K6" s="36"/>
    </row>
    <row r="7" spans="1:11" ht="7.5" customHeight="1" x14ac:dyDescent="0.2">
      <c r="A7" s="164"/>
      <c r="B7" s="163"/>
      <c r="C7" s="163"/>
      <c r="D7" s="163"/>
      <c r="E7" s="163"/>
      <c r="F7" s="163"/>
      <c r="G7" s="163"/>
      <c r="H7" s="163"/>
      <c r="I7" s="163"/>
      <c r="J7" s="164"/>
      <c r="K7" s="36"/>
    </row>
    <row r="8" spans="1:11" ht="15" x14ac:dyDescent="0.2">
      <c r="A8" s="623" t="s">
        <v>290</v>
      </c>
      <c r="B8" s="623"/>
      <c r="C8" s="618"/>
      <c r="D8" s="618"/>
      <c r="E8" s="618"/>
      <c r="F8" s="618"/>
      <c r="G8" s="618"/>
      <c r="H8" s="618"/>
      <c r="I8" s="618"/>
      <c r="J8" s="214"/>
      <c r="K8" s="36"/>
    </row>
    <row r="9" spans="1:11" ht="10.5" customHeight="1" x14ac:dyDescent="0.25">
      <c r="A9" s="214"/>
      <c r="B9" s="14"/>
      <c r="C9" s="14"/>
      <c r="D9" s="14"/>
      <c r="E9" s="14"/>
      <c r="F9" s="14"/>
      <c r="G9" s="14"/>
      <c r="H9" s="15"/>
      <c r="I9" s="15"/>
      <c r="J9" s="14"/>
      <c r="K9" s="36"/>
    </row>
    <row r="10" spans="1:11" ht="15.75" x14ac:dyDescent="0.25">
      <c r="A10" s="14" t="s">
        <v>291</v>
      </c>
      <c r="B10" s="621"/>
      <c r="C10" s="621"/>
      <c r="D10" s="621"/>
      <c r="E10" s="621"/>
      <c r="F10" s="621"/>
      <c r="G10" s="621"/>
      <c r="H10" s="621"/>
      <c r="I10" s="15"/>
      <c r="J10" s="14"/>
      <c r="K10" s="36"/>
    </row>
    <row r="11" spans="1:11" ht="15" x14ac:dyDescent="0.2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36"/>
    </row>
    <row r="12" spans="1:11" ht="15" x14ac:dyDescent="0.2">
      <c r="A12" s="14" t="s">
        <v>292</v>
      </c>
      <c r="B12" s="629"/>
      <c r="C12" s="629"/>
      <c r="D12" s="629"/>
      <c r="E12" s="16"/>
      <c r="F12" s="214" t="s">
        <v>293</v>
      </c>
      <c r="G12" s="629">
        <f>IF(B12&lt;4000, B12*0.02, 85)</f>
        <v>0</v>
      </c>
      <c r="H12" s="629"/>
      <c r="I12" s="629"/>
      <c r="J12" s="165"/>
      <c r="K12" s="36"/>
    </row>
    <row r="13" spans="1:11" ht="15" x14ac:dyDescent="0.2">
      <c r="A13" s="166"/>
      <c r="B13" s="159"/>
      <c r="C13" s="159"/>
      <c r="D13" s="159"/>
      <c r="E13" s="160"/>
      <c r="F13" s="161"/>
      <c r="G13" s="159"/>
      <c r="H13" s="159"/>
      <c r="I13" s="159"/>
      <c r="J13" s="167"/>
      <c r="K13" s="158"/>
    </row>
    <row r="14" spans="1:11" ht="15" x14ac:dyDescent="0.2">
      <c r="A14" s="14" t="s">
        <v>294</v>
      </c>
      <c r="B14" s="628">
        <f>SUM(B12+G12)</f>
        <v>0</v>
      </c>
      <c r="C14" s="628"/>
      <c r="D14" s="628"/>
      <c r="E14" s="160"/>
      <c r="F14" s="214" t="s">
        <v>295</v>
      </c>
      <c r="G14" s="625"/>
      <c r="H14" s="625"/>
      <c r="I14" s="625"/>
      <c r="J14" s="165"/>
      <c r="K14" s="36"/>
    </row>
    <row r="15" spans="1:11" ht="15.75" x14ac:dyDescent="0.25">
      <c r="A15" s="14"/>
      <c r="B15" s="14"/>
      <c r="C15" s="14"/>
      <c r="D15" s="14"/>
      <c r="E15" s="16"/>
      <c r="F15" s="14"/>
      <c r="G15" s="14"/>
      <c r="H15" s="17"/>
      <c r="I15" s="14"/>
      <c r="J15" s="14"/>
      <c r="K15" s="36"/>
    </row>
    <row r="16" spans="1:11" ht="15.75" x14ac:dyDescent="0.25">
      <c r="A16" s="14" t="s">
        <v>296</v>
      </c>
      <c r="B16" s="212">
        <v>1</v>
      </c>
      <c r="C16" s="14"/>
      <c r="D16" s="14"/>
      <c r="E16" s="16"/>
      <c r="F16" s="214" t="s">
        <v>297</v>
      </c>
      <c r="G16" s="621"/>
      <c r="H16" s="621"/>
      <c r="I16" s="14"/>
      <c r="J16" s="14"/>
      <c r="K16" s="36"/>
    </row>
    <row r="17" spans="1:11" ht="15.75" x14ac:dyDescent="0.25">
      <c r="A17" s="14"/>
      <c r="B17" s="14"/>
      <c r="C17" s="14"/>
      <c r="D17" s="14"/>
      <c r="E17" s="16"/>
      <c r="F17" s="14"/>
      <c r="G17" s="14"/>
      <c r="H17" s="17"/>
      <c r="I17" s="214"/>
      <c r="J17" s="14"/>
      <c r="K17" s="36"/>
    </row>
    <row r="18" spans="1:11" ht="15" x14ac:dyDescent="0.2">
      <c r="A18" s="14" t="s">
        <v>298</v>
      </c>
      <c r="B18" s="621"/>
      <c r="C18" s="621"/>
      <c r="D18" s="14"/>
      <c r="E18" s="623" t="s">
        <v>299</v>
      </c>
      <c r="F18" s="623"/>
      <c r="G18" s="621"/>
      <c r="H18" s="621"/>
      <c r="I18" s="214"/>
      <c r="J18" s="14"/>
      <c r="K18" s="36"/>
    </row>
    <row r="19" spans="1:11" ht="15" x14ac:dyDescent="0.2">
      <c r="A19" s="14"/>
      <c r="B19" s="14"/>
      <c r="C19" s="14"/>
      <c r="D19" s="14"/>
      <c r="E19" s="16"/>
      <c r="F19" s="14"/>
      <c r="G19" s="14"/>
      <c r="H19" s="14"/>
      <c r="I19" s="214"/>
      <c r="J19" s="168"/>
      <c r="K19" s="36"/>
    </row>
    <row r="20" spans="1:11" ht="15" x14ac:dyDescent="0.2">
      <c r="A20" s="14" t="s">
        <v>300</v>
      </c>
      <c r="B20" s="621"/>
      <c r="C20" s="621"/>
      <c r="D20" s="162"/>
      <c r="E20" s="16"/>
      <c r="F20" s="214" t="s">
        <v>301</v>
      </c>
      <c r="G20" s="621"/>
      <c r="H20" s="621"/>
      <c r="I20" s="18"/>
      <c r="J20" s="14"/>
      <c r="K20" s="36"/>
    </row>
    <row r="21" spans="1:11" ht="15" x14ac:dyDescent="0.2">
      <c r="A21" s="14"/>
      <c r="B21" s="14"/>
      <c r="C21" s="14"/>
      <c r="D21" s="14"/>
      <c r="E21" s="16"/>
      <c r="F21" s="14"/>
      <c r="G21" s="14"/>
      <c r="H21" s="14"/>
      <c r="I21" s="14"/>
      <c r="J21" s="14"/>
      <c r="K21" s="36"/>
    </row>
    <row r="22" spans="1:11" ht="15.75" x14ac:dyDescent="0.25">
      <c r="A22" s="14" t="s">
        <v>302</v>
      </c>
      <c r="B22" s="622">
        <v>21</v>
      </c>
      <c r="C22" s="622"/>
      <c r="D22" s="14"/>
      <c r="E22" s="623" t="s">
        <v>303</v>
      </c>
      <c r="F22" s="623"/>
      <c r="G22" s="621"/>
      <c r="H22" s="621"/>
      <c r="I22" s="14"/>
      <c r="J22" s="14"/>
      <c r="K22" s="36"/>
    </row>
    <row r="23" spans="1:11" ht="15" x14ac:dyDescent="0.2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36"/>
    </row>
    <row r="24" spans="1:11" ht="15" x14ac:dyDescent="0.2">
      <c r="A24" s="14" t="s">
        <v>304</v>
      </c>
      <c r="B24" s="169"/>
      <c r="C24" s="178"/>
      <c r="D24" s="14"/>
      <c r="E24" s="623" t="s">
        <v>305</v>
      </c>
      <c r="F24" s="623"/>
      <c r="G24" s="639"/>
      <c r="H24" s="639"/>
      <c r="I24" s="639"/>
      <c r="J24" s="14"/>
      <c r="K24" s="36"/>
    </row>
    <row r="25" spans="1:11" ht="15" x14ac:dyDescent="0.2">
      <c r="A25" s="169" t="s">
        <v>306</v>
      </c>
      <c r="B25" s="169"/>
      <c r="C25" s="169"/>
      <c r="D25" s="169"/>
      <c r="E25" s="161"/>
      <c r="F25" s="161"/>
      <c r="G25" s="159"/>
      <c r="H25" s="159"/>
      <c r="I25" s="159"/>
      <c r="J25" s="169"/>
      <c r="K25" s="158"/>
    </row>
    <row r="26" spans="1:11" ht="15" x14ac:dyDescent="0.2">
      <c r="A26" s="33" t="s">
        <v>307</v>
      </c>
      <c r="B26" s="33"/>
      <c r="C26" s="179"/>
      <c r="D26" s="33"/>
      <c r="E26" s="33"/>
      <c r="F26" s="33"/>
      <c r="G26" s="33"/>
      <c r="H26" s="33"/>
      <c r="I26" s="34"/>
      <c r="J26" s="33"/>
      <c r="K26" s="36"/>
    </row>
    <row r="27" spans="1:11" ht="15" x14ac:dyDescent="0.2">
      <c r="A27" s="33" t="s">
        <v>306</v>
      </c>
      <c r="B27" s="33"/>
      <c r="C27" s="156"/>
      <c r="D27" s="33"/>
      <c r="E27" s="33"/>
      <c r="F27" s="33"/>
      <c r="G27" s="33"/>
      <c r="H27" s="33"/>
      <c r="I27" s="34"/>
      <c r="J27" s="33"/>
      <c r="K27" s="36"/>
    </row>
    <row r="28" spans="1:11" ht="15" x14ac:dyDescent="0.2">
      <c r="A28" s="156" t="s">
        <v>308</v>
      </c>
      <c r="B28" s="624"/>
      <c r="C28" s="624"/>
      <c r="D28" s="624"/>
      <c r="E28" s="624"/>
      <c r="F28" s="624"/>
      <c r="G28" s="624"/>
      <c r="H28" s="624"/>
      <c r="I28" s="624"/>
      <c r="J28" s="12"/>
      <c r="K28" s="158"/>
    </row>
    <row r="29" spans="1:11" ht="8.25" customHeight="1" x14ac:dyDescent="0.25">
      <c r="A29" s="155"/>
      <c r="B29" s="156"/>
      <c r="C29" s="156"/>
      <c r="D29" s="156"/>
      <c r="E29" s="156"/>
      <c r="F29" s="156"/>
      <c r="G29" s="156"/>
      <c r="H29" s="156"/>
      <c r="I29" s="157"/>
      <c r="J29" s="156"/>
      <c r="K29" s="158"/>
    </row>
    <row r="30" spans="1:11" x14ac:dyDescent="0.2">
      <c r="A30" s="13" t="s">
        <v>309</v>
      </c>
    </row>
    <row r="31" spans="1:11" ht="12.75" customHeight="1" x14ac:dyDescent="0.2">
      <c r="A31" s="630"/>
      <c r="B31" s="631"/>
      <c r="C31" s="631"/>
      <c r="D31" s="631"/>
      <c r="E31" s="631"/>
      <c r="F31" s="631"/>
      <c r="G31" s="631"/>
      <c r="H31" s="631"/>
      <c r="I31" s="631"/>
      <c r="J31" s="631"/>
      <c r="K31" s="632"/>
    </row>
    <row r="32" spans="1:11" ht="12.75" customHeight="1" x14ac:dyDescent="0.2">
      <c r="A32" s="633"/>
      <c r="B32" s="634"/>
      <c r="C32" s="634"/>
      <c r="D32" s="634"/>
      <c r="E32" s="634"/>
      <c r="F32" s="634"/>
      <c r="G32" s="634"/>
      <c r="H32" s="634"/>
      <c r="I32" s="634"/>
      <c r="J32" s="634"/>
      <c r="K32" s="635"/>
    </row>
    <row r="33" spans="1:11" ht="12.75" customHeight="1" x14ac:dyDescent="0.2">
      <c r="A33" s="633"/>
      <c r="B33" s="634"/>
      <c r="C33" s="634"/>
      <c r="D33" s="634"/>
      <c r="E33" s="634"/>
      <c r="F33" s="634"/>
      <c r="G33" s="634"/>
      <c r="H33" s="634"/>
      <c r="I33" s="634"/>
      <c r="J33" s="634"/>
      <c r="K33" s="635"/>
    </row>
    <row r="34" spans="1:11" ht="12.75" customHeight="1" x14ac:dyDescent="0.2">
      <c r="A34" s="633"/>
      <c r="B34" s="634"/>
      <c r="C34" s="634"/>
      <c r="D34" s="634"/>
      <c r="E34" s="634"/>
      <c r="F34" s="634"/>
      <c r="G34" s="634"/>
      <c r="H34" s="634"/>
      <c r="I34" s="634"/>
      <c r="J34" s="634"/>
      <c r="K34" s="635"/>
    </row>
    <row r="35" spans="1:11" ht="12.75" customHeight="1" x14ac:dyDescent="0.2">
      <c r="A35" s="633"/>
      <c r="B35" s="634"/>
      <c r="C35" s="634"/>
      <c r="D35" s="634"/>
      <c r="E35" s="634"/>
      <c r="F35" s="634"/>
      <c r="G35" s="634"/>
      <c r="H35" s="634"/>
      <c r="I35" s="634"/>
      <c r="J35" s="634"/>
      <c r="K35" s="635"/>
    </row>
    <row r="36" spans="1:11" ht="12.75" customHeight="1" x14ac:dyDescent="0.2">
      <c r="A36" s="633"/>
      <c r="B36" s="634"/>
      <c r="C36" s="634"/>
      <c r="D36" s="634"/>
      <c r="E36" s="634"/>
      <c r="F36" s="634"/>
      <c r="G36" s="634"/>
      <c r="H36" s="634"/>
      <c r="I36" s="634"/>
      <c r="J36" s="634"/>
      <c r="K36" s="635"/>
    </row>
    <row r="37" spans="1:11" ht="12.75" customHeight="1" x14ac:dyDescent="0.2">
      <c r="A37" s="636"/>
      <c r="B37" s="637"/>
      <c r="C37" s="637"/>
      <c r="D37" s="637"/>
      <c r="E37" s="637"/>
      <c r="F37" s="637"/>
      <c r="G37" s="637"/>
      <c r="H37" s="637"/>
      <c r="I37" s="637"/>
      <c r="J37" s="637"/>
      <c r="K37" s="638"/>
    </row>
    <row r="38" spans="1:11" ht="12.75" customHeight="1" x14ac:dyDescent="0.2">
      <c r="A38" s="170"/>
      <c r="B38" s="171"/>
      <c r="C38" s="171"/>
      <c r="D38" s="171"/>
      <c r="E38" s="171"/>
      <c r="F38" s="171"/>
      <c r="G38" s="171"/>
      <c r="H38" s="171"/>
      <c r="I38" s="171"/>
      <c r="J38" s="171"/>
      <c r="K38" s="172"/>
    </row>
    <row r="39" spans="1:11" ht="15" x14ac:dyDescent="0.2">
      <c r="A39" s="173" t="s">
        <v>310</v>
      </c>
      <c r="B39" s="156"/>
      <c r="C39" s="179"/>
      <c r="D39" s="156"/>
      <c r="E39" s="619" t="s">
        <v>311</v>
      </c>
      <c r="F39" s="619"/>
      <c r="G39" s="619"/>
      <c r="H39" s="619"/>
      <c r="I39" s="180"/>
      <c r="J39" s="156"/>
      <c r="K39" s="174"/>
    </row>
    <row r="40" spans="1:11" ht="15" x14ac:dyDescent="0.2">
      <c r="A40" s="173"/>
      <c r="B40" s="175"/>
      <c r="C40" s="175"/>
      <c r="D40" s="156"/>
      <c r="E40" s="156"/>
      <c r="F40" s="156"/>
      <c r="G40" s="156"/>
      <c r="H40" s="156"/>
      <c r="I40" s="156"/>
      <c r="J40" s="156"/>
      <c r="K40" s="174"/>
    </row>
    <row r="41" spans="1:11" ht="15" x14ac:dyDescent="0.2">
      <c r="A41" s="173" t="s">
        <v>312</v>
      </c>
      <c r="B41" s="156"/>
      <c r="C41" s="156"/>
      <c r="D41" s="620" t="s">
        <v>313</v>
      </c>
      <c r="E41" s="620"/>
      <c r="F41" s="620"/>
      <c r="G41" s="620"/>
      <c r="H41" s="620"/>
      <c r="I41" s="620"/>
      <c r="J41" s="156"/>
      <c r="K41" s="174"/>
    </row>
    <row r="42" spans="1:11" ht="15" x14ac:dyDescent="0.2">
      <c r="A42" s="181"/>
      <c r="B42" s="156" t="s">
        <v>314</v>
      </c>
      <c r="C42" s="617"/>
      <c r="D42" s="617"/>
      <c r="E42" s="617"/>
      <c r="F42" s="617"/>
      <c r="G42" s="617"/>
      <c r="H42" s="617"/>
      <c r="I42" s="617"/>
      <c r="J42" s="156"/>
      <c r="K42" s="174"/>
    </row>
    <row r="43" spans="1:11" ht="15" x14ac:dyDescent="0.2">
      <c r="A43" s="181"/>
      <c r="B43" s="156" t="s">
        <v>314</v>
      </c>
      <c r="C43" s="617"/>
      <c r="D43" s="617"/>
      <c r="E43" s="617"/>
      <c r="F43" s="617"/>
      <c r="G43" s="617"/>
      <c r="H43" s="617"/>
      <c r="I43" s="617"/>
      <c r="J43" s="156"/>
      <c r="K43" s="174"/>
    </row>
    <row r="44" spans="1:11" ht="15" x14ac:dyDescent="0.2">
      <c r="A44" s="181"/>
      <c r="B44" s="156" t="s">
        <v>314</v>
      </c>
      <c r="C44" s="617"/>
      <c r="D44" s="617"/>
      <c r="E44" s="617"/>
      <c r="F44" s="617"/>
      <c r="G44" s="617"/>
      <c r="H44" s="617"/>
      <c r="I44" s="617"/>
      <c r="J44" s="156"/>
      <c r="K44" s="174"/>
    </row>
    <row r="45" spans="1:11" ht="15" x14ac:dyDescent="0.2">
      <c r="A45" s="181"/>
      <c r="B45" s="156" t="s">
        <v>314</v>
      </c>
      <c r="C45" s="617"/>
      <c r="D45" s="617"/>
      <c r="E45" s="617"/>
      <c r="F45" s="617"/>
      <c r="G45" s="617"/>
      <c r="H45" s="617"/>
      <c r="I45" s="617"/>
      <c r="J45" s="156"/>
      <c r="K45" s="174"/>
    </row>
    <row r="46" spans="1:11" ht="15" x14ac:dyDescent="0.2">
      <c r="A46" s="181"/>
      <c r="B46" s="176" t="s">
        <v>314</v>
      </c>
      <c r="C46" s="617"/>
      <c r="D46" s="617"/>
      <c r="E46" s="617"/>
      <c r="F46" s="617"/>
      <c r="G46" s="617"/>
      <c r="H46" s="617"/>
      <c r="I46" s="617"/>
      <c r="J46" s="176"/>
      <c r="K46" s="177"/>
    </row>
  </sheetData>
  <sheetProtection selectLockedCells="1"/>
  <mergeCells count="35">
    <mergeCell ref="A1:J1"/>
    <mergeCell ref="A2:J2"/>
    <mergeCell ref="A3:J3"/>
    <mergeCell ref="A4:I4"/>
    <mergeCell ref="A5:J5"/>
    <mergeCell ref="C46:I46"/>
    <mergeCell ref="B6:C6"/>
    <mergeCell ref="E6:G6"/>
    <mergeCell ref="H6:I6"/>
    <mergeCell ref="E18:F18"/>
    <mergeCell ref="G18:H18"/>
    <mergeCell ref="B10:H10"/>
    <mergeCell ref="B14:D14"/>
    <mergeCell ref="B12:D12"/>
    <mergeCell ref="G12:I12"/>
    <mergeCell ref="G16:H16"/>
    <mergeCell ref="B18:C18"/>
    <mergeCell ref="A8:B8"/>
    <mergeCell ref="A31:K37"/>
    <mergeCell ref="E24:F24"/>
    <mergeCell ref="G24:I24"/>
    <mergeCell ref="C44:I44"/>
    <mergeCell ref="C45:I45"/>
    <mergeCell ref="C8:I8"/>
    <mergeCell ref="E39:H39"/>
    <mergeCell ref="D41:I41"/>
    <mergeCell ref="C42:I42"/>
    <mergeCell ref="C43:I43"/>
    <mergeCell ref="G20:H20"/>
    <mergeCell ref="B22:C22"/>
    <mergeCell ref="E22:F22"/>
    <mergeCell ref="G22:H22"/>
    <mergeCell ref="B28:I28"/>
    <mergeCell ref="B20:C20"/>
    <mergeCell ref="G14:I14"/>
  </mergeCells>
  <phoneticPr fontId="11" type="noConversion"/>
  <pageMargins left="0.75" right="0.75" top="1" bottom="1" header="0.5" footer="0.5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8" tint="0.79998168889431442"/>
    <pageSetUpPr fitToPage="1"/>
  </sheetPr>
  <dimension ref="A1:F41"/>
  <sheetViews>
    <sheetView workbookViewId="0">
      <selection activeCell="M41" sqref="M41"/>
    </sheetView>
  </sheetViews>
  <sheetFormatPr defaultRowHeight="12.75" x14ac:dyDescent="0.2"/>
  <cols>
    <col min="1" max="1" width="26.140625" customWidth="1"/>
    <col min="2" max="2" width="16.7109375" customWidth="1"/>
    <col min="3" max="3" width="18" customWidth="1"/>
    <col min="4" max="4" width="15.85546875" customWidth="1"/>
    <col min="5" max="5" width="14.7109375" customWidth="1"/>
    <col min="6" max="6" width="15.42578125" customWidth="1"/>
  </cols>
  <sheetData>
    <row r="1" spans="1:6" ht="34.5" customHeight="1" x14ac:dyDescent="0.2">
      <c r="A1" s="644" t="s">
        <v>315</v>
      </c>
      <c r="B1" s="644"/>
      <c r="C1" s="644"/>
      <c r="D1" s="644"/>
      <c r="E1" s="644"/>
      <c r="F1" s="201" t="s">
        <v>316</v>
      </c>
    </row>
    <row r="3" spans="1:6" ht="51" x14ac:dyDescent="0.2">
      <c r="A3" s="38"/>
      <c r="B3" s="46" t="s">
        <v>317</v>
      </c>
      <c r="C3" s="46" t="s">
        <v>318</v>
      </c>
      <c r="D3" s="46" t="s">
        <v>319</v>
      </c>
      <c r="E3" s="46" t="s">
        <v>320</v>
      </c>
      <c r="F3" s="46" t="s">
        <v>106</v>
      </c>
    </row>
    <row r="4" spans="1:6" x14ac:dyDescent="0.2">
      <c r="A4" s="38" t="s">
        <v>321</v>
      </c>
      <c r="B4" s="188"/>
      <c r="C4" s="188"/>
      <c r="D4" s="188"/>
      <c r="E4" s="188"/>
      <c r="F4" s="182"/>
    </row>
    <row r="5" spans="1:6" x14ac:dyDescent="0.2">
      <c r="A5" s="38" t="s">
        <v>322</v>
      </c>
      <c r="B5" s="188">
        <v>25000</v>
      </c>
      <c r="C5" s="188"/>
      <c r="D5" s="188"/>
      <c r="E5" s="188">
        <v>50000</v>
      </c>
      <c r="F5" s="182" t="s">
        <v>323</v>
      </c>
    </row>
    <row r="6" spans="1:6" x14ac:dyDescent="0.2">
      <c r="A6" s="38" t="s">
        <v>324</v>
      </c>
      <c r="B6" s="188">
        <v>5000</v>
      </c>
      <c r="C6" s="188"/>
      <c r="D6" s="188"/>
      <c r="E6" s="188"/>
      <c r="F6" s="182" t="s">
        <v>323</v>
      </c>
    </row>
    <row r="7" spans="1:6" x14ac:dyDescent="0.2">
      <c r="A7" s="182" t="s">
        <v>325</v>
      </c>
      <c r="B7" s="188"/>
      <c r="C7" s="188"/>
      <c r="D7" s="188"/>
      <c r="E7" s="188"/>
      <c r="F7" s="182"/>
    </row>
    <row r="8" spans="1:6" ht="14.25" x14ac:dyDescent="0.2">
      <c r="A8" s="47"/>
      <c r="B8" s="47"/>
      <c r="C8" s="47"/>
      <c r="D8" s="47"/>
      <c r="E8" s="47"/>
      <c r="F8" s="47"/>
    </row>
    <row r="9" spans="1:6" x14ac:dyDescent="0.2">
      <c r="A9" s="38" t="s">
        <v>326</v>
      </c>
      <c r="B9" s="46"/>
      <c r="C9" s="46"/>
      <c r="D9" s="46"/>
      <c r="E9" s="46"/>
      <c r="F9" s="38"/>
    </row>
    <row r="10" spans="1:6" x14ac:dyDescent="0.2">
      <c r="A10" s="38" t="s">
        <v>322</v>
      </c>
      <c r="B10" s="188">
        <v>50000</v>
      </c>
      <c r="C10" s="188"/>
      <c r="D10" s="188"/>
      <c r="E10" s="188">
        <v>100000</v>
      </c>
      <c r="F10" s="182" t="s">
        <v>323</v>
      </c>
    </row>
    <row r="11" spans="1:6" x14ac:dyDescent="0.2">
      <c r="A11" s="38" t="s">
        <v>324</v>
      </c>
      <c r="B11" s="199">
        <v>25000</v>
      </c>
      <c r="C11" s="188"/>
      <c r="D11" s="188"/>
      <c r="E11" s="188"/>
      <c r="F11" s="182" t="s">
        <v>323</v>
      </c>
    </row>
    <row r="12" spans="1:6" ht="25.5" x14ac:dyDescent="0.2">
      <c r="A12" s="182" t="s">
        <v>327</v>
      </c>
      <c r="B12" s="188"/>
      <c r="C12" s="188"/>
      <c r="D12" s="188"/>
      <c r="E12" s="188"/>
      <c r="F12" s="182"/>
    </row>
    <row r="13" spans="1:6" x14ac:dyDescent="0.2">
      <c r="A13" s="38"/>
      <c r="B13" s="188"/>
      <c r="C13" s="188"/>
      <c r="D13" s="188"/>
      <c r="E13" s="188"/>
      <c r="F13" s="182"/>
    </row>
    <row r="14" spans="1:6" ht="14.25" x14ac:dyDescent="0.2">
      <c r="A14" s="38" t="s">
        <v>328</v>
      </c>
      <c r="B14" s="47"/>
      <c r="C14" s="47"/>
      <c r="D14" s="47"/>
      <c r="E14" s="47"/>
      <c r="F14" s="47"/>
    </row>
    <row r="15" spans="1:6" ht="14.25" x14ac:dyDescent="0.2">
      <c r="A15" s="48" t="s">
        <v>329</v>
      </c>
      <c r="B15" s="49">
        <v>75000</v>
      </c>
      <c r="C15" s="49">
        <v>250000</v>
      </c>
      <c r="D15" s="49">
        <v>400000</v>
      </c>
      <c r="E15" s="49">
        <v>500000</v>
      </c>
      <c r="F15" s="47" t="s">
        <v>323</v>
      </c>
    </row>
    <row r="16" spans="1:6" ht="14.25" x14ac:dyDescent="0.2">
      <c r="A16" s="48" t="s">
        <v>330</v>
      </c>
      <c r="B16" s="49">
        <v>50000</v>
      </c>
      <c r="C16" s="49">
        <v>50000</v>
      </c>
      <c r="D16" s="49"/>
      <c r="E16" s="50"/>
      <c r="F16" s="47"/>
    </row>
    <row r="17" spans="1:6" ht="25.5" x14ac:dyDescent="0.2">
      <c r="A17" s="51" t="s">
        <v>331</v>
      </c>
      <c r="B17" s="49"/>
      <c r="C17" s="49"/>
      <c r="D17" s="49"/>
      <c r="E17" s="50"/>
      <c r="F17" s="47"/>
    </row>
    <row r="18" spans="1:6" ht="14.25" x14ac:dyDescent="0.2">
      <c r="A18" s="51"/>
      <c r="B18" s="49"/>
      <c r="C18" s="49"/>
      <c r="D18" s="49"/>
      <c r="E18" s="50"/>
      <c r="F18" s="47"/>
    </row>
    <row r="19" spans="1:6" ht="25.5" x14ac:dyDescent="0.2">
      <c r="A19" s="38" t="s">
        <v>332</v>
      </c>
      <c r="B19" s="188"/>
      <c r="C19" s="188"/>
      <c r="D19" s="188"/>
      <c r="E19" s="188"/>
      <c r="F19" s="182"/>
    </row>
    <row r="20" spans="1:6" x14ac:dyDescent="0.2">
      <c r="A20" s="38" t="s">
        <v>333</v>
      </c>
      <c r="B20" s="188">
        <v>50000</v>
      </c>
      <c r="C20" s="188"/>
      <c r="D20" s="188"/>
      <c r="E20" s="188">
        <v>100000</v>
      </c>
      <c r="F20" s="182" t="s">
        <v>323</v>
      </c>
    </row>
    <row r="21" spans="1:6" x14ac:dyDescent="0.2">
      <c r="A21" s="38" t="s">
        <v>324</v>
      </c>
      <c r="B21" s="199">
        <v>25000</v>
      </c>
      <c r="C21" s="188"/>
      <c r="D21" s="188"/>
      <c r="E21" s="188"/>
      <c r="F21" s="182" t="s">
        <v>323</v>
      </c>
    </row>
    <row r="22" spans="1:6" x14ac:dyDescent="0.2">
      <c r="A22" s="200" t="s">
        <v>334</v>
      </c>
      <c r="B22" s="188"/>
      <c r="C22" s="188"/>
      <c r="D22" s="188"/>
      <c r="E22" s="188"/>
      <c r="F22" s="188"/>
    </row>
    <row r="23" spans="1:6" x14ac:dyDescent="0.2">
      <c r="A23" s="38" t="s">
        <v>335</v>
      </c>
      <c r="B23" s="188"/>
      <c r="C23" s="188"/>
      <c r="D23" s="188"/>
      <c r="E23" s="188"/>
      <c r="F23" s="182"/>
    </row>
    <row r="24" spans="1:6" x14ac:dyDescent="0.2">
      <c r="A24" s="38" t="s">
        <v>333</v>
      </c>
      <c r="B24" s="188">
        <v>150000</v>
      </c>
      <c r="C24" s="188">
        <v>250000</v>
      </c>
      <c r="D24" s="188">
        <v>750000</v>
      </c>
      <c r="E24" s="188">
        <v>750000</v>
      </c>
      <c r="F24" s="182" t="s">
        <v>323</v>
      </c>
    </row>
    <row r="25" spans="1:6" x14ac:dyDescent="0.2">
      <c r="A25" s="38" t="s">
        <v>324</v>
      </c>
      <c r="B25" s="188">
        <v>50000</v>
      </c>
      <c r="C25" s="188"/>
      <c r="D25" s="188"/>
      <c r="E25" s="188"/>
      <c r="F25" s="182" t="s">
        <v>323</v>
      </c>
    </row>
    <row r="26" spans="1:6" ht="25.5" x14ac:dyDescent="0.2">
      <c r="A26" s="182" t="s">
        <v>336</v>
      </c>
      <c r="B26" s="188"/>
      <c r="C26" s="188"/>
      <c r="D26" s="188"/>
      <c r="E26" s="188"/>
      <c r="F26" s="188"/>
    </row>
    <row r="27" spans="1:6" ht="14.25" x14ac:dyDescent="0.2">
      <c r="A27" s="47"/>
      <c r="B27" s="47"/>
      <c r="C27" s="47"/>
      <c r="D27" s="47"/>
      <c r="E27" s="47"/>
      <c r="F27" s="47"/>
    </row>
    <row r="28" spans="1:6" x14ac:dyDescent="0.2">
      <c r="A28" s="38" t="s">
        <v>337</v>
      </c>
      <c r="B28" s="188"/>
      <c r="C28" s="188"/>
      <c r="D28" s="188"/>
      <c r="E28" s="188"/>
      <c r="F28" s="182"/>
    </row>
    <row r="29" spans="1:6" x14ac:dyDescent="0.2">
      <c r="A29" s="38" t="s">
        <v>333</v>
      </c>
      <c r="B29" s="188">
        <v>250000</v>
      </c>
      <c r="C29" s="188">
        <v>500000</v>
      </c>
      <c r="D29" s="188">
        <v>1000000</v>
      </c>
      <c r="E29" s="188">
        <v>1000000</v>
      </c>
      <c r="F29" s="182" t="s">
        <v>323</v>
      </c>
    </row>
    <row r="30" spans="1:6" x14ac:dyDescent="0.2">
      <c r="A30" s="38" t="s">
        <v>324</v>
      </c>
      <c r="B30" s="188">
        <v>100000</v>
      </c>
      <c r="C30" s="188"/>
      <c r="D30" s="188"/>
      <c r="E30" s="188"/>
      <c r="F30" s="182" t="s">
        <v>323</v>
      </c>
    </row>
    <row r="31" spans="1:6" x14ac:dyDescent="0.2">
      <c r="A31" s="38" t="s">
        <v>338</v>
      </c>
      <c r="B31" s="188">
        <v>100000</v>
      </c>
      <c r="C31" s="188">
        <v>100000</v>
      </c>
      <c r="D31" s="188">
        <v>100000</v>
      </c>
      <c r="E31" s="188">
        <v>1000000</v>
      </c>
      <c r="F31" s="182" t="s">
        <v>339</v>
      </c>
    </row>
    <row r="32" spans="1:6" x14ac:dyDescent="0.2">
      <c r="A32" s="182" t="s">
        <v>340</v>
      </c>
      <c r="B32" s="188"/>
      <c r="C32" s="188"/>
      <c r="D32" s="188"/>
      <c r="E32" s="188"/>
      <c r="F32" s="182"/>
    </row>
    <row r="33" spans="1:6" x14ac:dyDescent="0.2">
      <c r="A33" s="38"/>
      <c r="B33" s="188"/>
      <c r="C33" s="188"/>
      <c r="D33" s="188"/>
      <c r="E33" s="188"/>
      <c r="F33" s="182"/>
    </row>
    <row r="34" spans="1:6" x14ac:dyDescent="0.2">
      <c r="A34" s="38" t="s">
        <v>341</v>
      </c>
      <c r="B34" s="188">
        <v>1500000</v>
      </c>
      <c r="C34" s="188">
        <v>1500000</v>
      </c>
      <c r="D34" s="188">
        <v>1500000</v>
      </c>
      <c r="E34" s="188">
        <v>1500000</v>
      </c>
      <c r="F34" s="188" t="s">
        <v>342</v>
      </c>
    </row>
    <row r="35" spans="1:6" ht="25.5" x14ac:dyDescent="0.2">
      <c r="A35" s="51" t="s">
        <v>343</v>
      </c>
      <c r="B35" s="188"/>
      <c r="C35" s="188"/>
      <c r="D35" s="188"/>
      <c r="E35" s="188"/>
      <c r="F35" s="182" t="s">
        <v>223</v>
      </c>
    </row>
    <row r="36" spans="1:6" ht="14.25" x14ac:dyDescent="0.2">
      <c r="A36" s="47"/>
      <c r="B36" s="47"/>
      <c r="C36" s="47"/>
      <c r="D36" s="47"/>
      <c r="E36" s="47"/>
      <c r="F36" s="47"/>
    </row>
    <row r="37" spans="1:6" x14ac:dyDescent="0.2">
      <c r="A37" s="38" t="s">
        <v>344</v>
      </c>
      <c r="B37" s="188" t="s">
        <v>345</v>
      </c>
      <c r="C37" s="188" t="s">
        <v>345</v>
      </c>
      <c r="D37" s="188" t="s">
        <v>345</v>
      </c>
      <c r="E37" s="188" t="s">
        <v>345</v>
      </c>
      <c r="F37" s="188" t="s">
        <v>342</v>
      </c>
    </row>
    <row r="38" spans="1:6" x14ac:dyDescent="0.2">
      <c r="A38" s="51" t="s">
        <v>346</v>
      </c>
      <c r="B38" s="188"/>
      <c r="C38" s="188"/>
      <c r="D38" s="188"/>
      <c r="E38" s="188"/>
      <c r="F38" s="188"/>
    </row>
    <row r="39" spans="1:6" x14ac:dyDescent="0.2">
      <c r="A39" s="52"/>
      <c r="B39" s="189"/>
      <c r="C39" s="189"/>
      <c r="D39" s="189"/>
      <c r="E39" s="188"/>
      <c r="F39" s="188"/>
    </row>
    <row r="40" spans="1:6" ht="14.25" x14ac:dyDescent="0.2">
      <c r="A40" s="53" t="s">
        <v>347</v>
      </c>
      <c r="B40" s="54"/>
      <c r="C40" s="55"/>
      <c r="D40" s="55"/>
      <c r="E40" s="55"/>
      <c r="F40" s="182"/>
    </row>
    <row r="41" spans="1:6" ht="14.25" x14ac:dyDescent="0.2">
      <c r="A41" s="56" t="s">
        <v>348</v>
      </c>
      <c r="B41" s="57"/>
      <c r="C41" s="58"/>
      <c r="D41" s="59"/>
      <c r="E41" s="59"/>
      <c r="F41" s="190"/>
    </row>
  </sheetData>
  <mergeCells count="1">
    <mergeCell ref="A1:E1"/>
  </mergeCells>
  <pageMargins left="0.7" right="0.7" top="0.75" bottom="0.75" header="0.3" footer="0.3"/>
  <pageSetup scale="86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M33"/>
  <sheetViews>
    <sheetView workbookViewId="0">
      <selection activeCell="O4" sqref="O4"/>
    </sheetView>
  </sheetViews>
  <sheetFormatPr defaultRowHeight="12.75" x14ac:dyDescent="0.2"/>
  <cols>
    <col min="11" max="11" width="7.85546875" customWidth="1"/>
    <col min="13" max="13" width="10.42578125" customWidth="1"/>
  </cols>
  <sheetData>
    <row r="1" spans="1:13" ht="29.25" customHeight="1" x14ac:dyDescent="0.2">
      <c r="A1" s="645" t="s">
        <v>349</v>
      </c>
      <c r="B1" s="645"/>
      <c r="C1" s="645"/>
      <c r="D1" s="645"/>
      <c r="E1" s="645"/>
      <c r="F1" s="645"/>
      <c r="G1" s="645"/>
      <c r="H1" s="645"/>
      <c r="I1" s="645"/>
      <c r="J1" s="645"/>
      <c r="K1" s="645"/>
      <c r="L1" s="645" t="s">
        <v>350</v>
      </c>
      <c r="M1" s="645"/>
    </row>
    <row r="2" spans="1:13" x14ac:dyDescent="0.2">
      <c r="A2" s="557"/>
      <c r="B2" s="557"/>
      <c r="C2" s="557"/>
      <c r="D2" s="557"/>
      <c r="E2" s="557"/>
      <c r="F2" s="557"/>
      <c r="G2" s="557"/>
      <c r="H2" s="557"/>
      <c r="I2" s="557"/>
      <c r="J2" s="557"/>
      <c r="K2" s="557"/>
      <c r="L2" s="557"/>
      <c r="M2" s="557"/>
    </row>
    <row r="3" spans="1:13" x14ac:dyDescent="0.2">
      <c r="A3" s="557"/>
      <c r="B3" s="557"/>
      <c r="C3" s="557"/>
      <c r="D3" s="557"/>
      <c r="E3" s="557"/>
      <c r="F3" s="557"/>
      <c r="G3" s="557"/>
      <c r="H3" s="557"/>
      <c r="I3" s="557"/>
      <c r="J3" s="557"/>
      <c r="K3" s="557"/>
      <c r="L3" s="557"/>
      <c r="M3" s="557"/>
    </row>
    <row r="4" spans="1:13" x14ac:dyDescent="0.2">
      <c r="A4" s="557"/>
      <c r="B4" s="557"/>
      <c r="C4" s="557"/>
      <c r="D4" s="557"/>
      <c r="E4" s="557"/>
      <c r="F4" s="557"/>
      <c r="G4" s="557"/>
      <c r="H4" s="557"/>
      <c r="I4" s="557"/>
      <c r="J4" s="557"/>
      <c r="K4" s="557"/>
      <c r="L4" s="557"/>
      <c r="M4" s="557"/>
    </row>
    <row r="5" spans="1:13" x14ac:dyDescent="0.2">
      <c r="A5" s="557"/>
      <c r="B5" s="557"/>
      <c r="C5" s="557"/>
      <c r="D5" s="557"/>
      <c r="E5" s="557"/>
      <c r="F5" s="557"/>
      <c r="G5" s="557"/>
      <c r="H5" s="557"/>
      <c r="I5" s="557"/>
      <c r="J5" s="557"/>
      <c r="K5" s="557"/>
      <c r="L5" s="557"/>
      <c r="M5" s="557"/>
    </row>
    <row r="6" spans="1:13" x14ac:dyDescent="0.2">
      <c r="A6" s="557"/>
      <c r="B6" s="557"/>
      <c r="C6" s="557"/>
      <c r="D6" s="557"/>
      <c r="E6" s="557"/>
      <c r="F6" s="557"/>
      <c r="G6" s="557"/>
      <c r="H6" s="557"/>
      <c r="I6" s="557"/>
      <c r="J6" s="557"/>
      <c r="K6" s="557"/>
      <c r="L6" s="557"/>
      <c r="M6" s="557"/>
    </row>
    <row r="7" spans="1:13" x14ac:dyDescent="0.2">
      <c r="A7" s="557"/>
      <c r="B7" s="557"/>
      <c r="C7" s="557"/>
      <c r="D7" s="557"/>
      <c r="E7" s="557"/>
      <c r="F7" s="557"/>
      <c r="G7" s="557"/>
      <c r="H7" s="557"/>
      <c r="I7" s="557"/>
      <c r="J7" s="557"/>
      <c r="K7" s="557"/>
      <c r="L7" s="557"/>
      <c r="M7" s="557"/>
    </row>
    <row r="8" spans="1:13" x14ac:dyDescent="0.2">
      <c r="A8" s="557"/>
      <c r="B8" s="557"/>
      <c r="C8" s="557"/>
      <c r="D8" s="557"/>
      <c r="E8" s="557"/>
      <c r="F8" s="557"/>
      <c r="G8" s="557"/>
      <c r="H8" s="557"/>
      <c r="I8" s="557"/>
      <c r="J8" s="557"/>
      <c r="K8" s="557"/>
      <c r="L8" s="557"/>
      <c r="M8" s="557"/>
    </row>
    <row r="9" spans="1:13" x14ac:dyDescent="0.2">
      <c r="A9" s="557"/>
      <c r="B9" s="557"/>
      <c r="C9" s="557"/>
      <c r="D9" s="557"/>
      <c r="E9" s="557"/>
      <c r="F9" s="557"/>
      <c r="G9" s="557"/>
      <c r="H9" s="557"/>
      <c r="I9" s="557"/>
      <c r="J9" s="557"/>
      <c r="K9" s="557"/>
      <c r="L9" s="557"/>
      <c r="M9" s="557"/>
    </row>
    <row r="10" spans="1:13" x14ac:dyDescent="0.2">
      <c r="A10" s="557"/>
      <c r="B10" s="557"/>
      <c r="C10" s="557"/>
      <c r="D10" s="557"/>
      <c r="E10" s="557"/>
      <c r="F10" s="557"/>
      <c r="G10" s="557"/>
      <c r="H10" s="557"/>
      <c r="I10" s="557"/>
      <c r="J10" s="557"/>
      <c r="K10" s="557"/>
      <c r="L10" s="557"/>
      <c r="M10" s="557"/>
    </row>
    <row r="11" spans="1:13" x14ac:dyDescent="0.2">
      <c r="A11" s="557"/>
      <c r="B11" s="557"/>
      <c r="C11" s="557"/>
      <c r="D11" s="557"/>
      <c r="E11" s="557"/>
      <c r="F11" s="557"/>
      <c r="G11" s="557"/>
      <c r="H11" s="557"/>
      <c r="I11" s="557"/>
      <c r="J11" s="557"/>
      <c r="K11" s="557"/>
      <c r="L11" s="557"/>
      <c r="M11" s="557"/>
    </row>
    <row r="12" spans="1:13" x14ac:dyDescent="0.2">
      <c r="A12" s="557"/>
      <c r="B12" s="557"/>
      <c r="C12" s="557"/>
      <c r="D12" s="557"/>
      <c r="E12" s="557"/>
      <c r="F12" s="557"/>
      <c r="G12" s="557"/>
      <c r="H12" s="557"/>
      <c r="I12" s="557"/>
      <c r="J12" s="557"/>
      <c r="K12" s="557"/>
      <c r="L12" s="557"/>
      <c r="M12" s="557"/>
    </row>
    <row r="13" spans="1:13" x14ac:dyDescent="0.2">
      <c r="A13" s="557"/>
      <c r="B13" s="557"/>
      <c r="C13" s="557"/>
      <c r="D13" s="557"/>
      <c r="E13" s="557"/>
      <c r="F13" s="557"/>
      <c r="G13" s="557"/>
      <c r="H13" s="557"/>
      <c r="I13" s="557"/>
      <c r="J13" s="557"/>
      <c r="K13" s="557"/>
      <c r="L13" s="557"/>
      <c r="M13" s="557"/>
    </row>
    <row r="14" spans="1:13" x14ac:dyDescent="0.2">
      <c r="A14" s="557"/>
      <c r="B14" s="557"/>
      <c r="C14" s="557"/>
      <c r="D14" s="557"/>
      <c r="E14" s="557"/>
      <c r="F14" s="557"/>
      <c r="G14" s="557"/>
      <c r="H14" s="557"/>
      <c r="I14" s="557"/>
      <c r="J14" s="557"/>
      <c r="K14" s="557"/>
      <c r="L14" s="557"/>
      <c r="M14" s="557"/>
    </row>
    <row r="15" spans="1:13" x14ac:dyDescent="0.2">
      <c r="A15" s="557"/>
      <c r="B15" s="557"/>
      <c r="C15" s="557"/>
      <c r="D15" s="557"/>
      <c r="E15" s="557"/>
      <c r="F15" s="557"/>
      <c r="G15" s="557"/>
      <c r="H15" s="557"/>
      <c r="I15" s="557"/>
      <c r="J15" s="557"/>
      <c r="K15" s="557"/>
      <c r="L15" s="557"/>
      <c r="M15" s="557"/>
    </row>
    <row r="16" spans="1:13" x14ac:dyDescent="0.2">
      <c r="A16" s="557"/>
      <c r="B16" s="557"/>
      <c r="C16" s="557"/>
      <c r="D16" s="557"/>
      <c r="E16" s="557"/>
      <c r="F16" s="557"/>
      <c r="G16" s="557"/>
      <c r="H16" s="557"/>
      <c r="I16" s="557"/>
      <c r="J16" s="557"/>
      <c r="K16" s="557"/>
      <c r="L16" s="557"/>
      <c r="M16" s="557"/>
    </row>
    <row r="17" spans="1:13" x14ac:dyDescent="0.2">
      <c r="A17" s="557"/>
      <c r="B17" s="557"/>
      <c r="C17" s="557"/>
      <c r="D17" s="557"/>
      <c r="E17" s="557"/>
      <c r="F17" s="557"/>
      <c r="G17" s="557"/>
      <c r="H17" s="557"/>
      <c r="I17" s="557"/>
      <c r="J17" s="557"/>
      <c r="K17" s="557"/>
      <c r="L17" s="557"/>
      <c r="M17" s="557"/>
    </row>
    <row r="18" spans="1:13" x14ac:dyDescent="0.2">
      <c r="A18" s="557"/>
      <c r="B18" s="557"/>
      <c r="C18" s="557"/>
      <c r="D18" s="557"/>
      <c r="E18" s="557"/>
      <c r="F18" s="557"/>
      <c r="G18" s="557"/>
      <c r="H18" s="557"/>
      <c r="I18" s="557"/>
      <c r="J18" s="557"/>
      <c r="K18" s="557"/>
      <c r="L18" s="557"/>
      <c r="M18" s="557"/>
    </row>
    <row r="19" spans="1:13" x14ac:dyDescent="0.2">
      <c r="A19" s="557"/>
      <c r="B19" s="557"/>
      <c r="C19" s="557"/>
      <c r="D19" s="557"/>
      <c r="E19" s="557"/>
      <c r="F19" s="557"/>
      <c r="G19" s="557"/>
      <c r="H19" s="557"/>
      <c r="I19" s="557"/>
      <c r="J19" s="557"/>
      <c r="K19" s="557"/>
      <c r="L19" s="557"/>
      <c r="M19" s="557"/>
    </row>
    <row r="20" spans="1:13" x14ac:dyDescent="0.2">
      <c r="A20" s="557"/>
      <c r="B20" s="557"/>
      <c r="C20" s="557"/>
      <c r="D20" s="557"/>
      <c r="E20" s="557"/>
      <c r="F20" s="557"/>
      <c r="G20" s="557"/>
      <c r="H20" s="557"/>
      <c r="I20" s="557"/>
      <c r="J20" s="557"/>
      <c r="K20" s="557"/>
      <c r="L20" s="557"/>
      <c r="M20" s="557"/>
    </row>
    <row r="21" spans="1:13" x14ac:dyDescent="0.2">
      <c r="A21" s="557"/>
      <c r="B21" s="557"/>
      <c r="C21" s="557"/>
      <c r="D21" s="557"/>
      <c r="E21" s="557"/>
      <c r="F21" s="557"/>
      <c r="G21" s="557"/>
      <c r="H21" s="557"/>
      <c r="I21" s="557"/>
      <c r="J21" s="557"/>
      <c r="K21" s="557"/>
      <c r="L21" s="557"/>
      <c r="M21" s="557"/>
    </row>
    <row r="22" spans="1:13" x14ac:dyDescent="0.2">
      <c r="A22" s="557"/>
      <c r="B22" s="557"/>
      <c r="C22" s="557"/>
      <c r="D22" s="557"/>
      <c r="E22" s="557"/>
      <c r="F22" s="557"/>
      <c r="G22" s="557"/>
      <c r="H22" s="557"/>
      <c r="I22" s="557"/>
      <c r="J22" s="557"/>
      <c r="K22" s="557"/>
      <c r="L22" s="557"/>
      <c r="M22" s="557"/>
    </row>
    <row r="23" spans="1:13" x14ac:dyDescent="0.2">
      <c r="A23" s="557"/>
      <c r="B23" s="557"/>
      <c r="C23" s="557"/>
      <c r="D23" s="557"/>
      <c r="E23" s="557"/>
      <c r="F23" s="557"/>
      <c r="G23" s="557"/>
      <c r="H23" s="557"/>
      <c r="I23" s="557"/>
      <c r="J23" s="557"/>
      <c r="K23" s="557"/>
      <c r="L23" s="557"/>
      <c r="M23" s="557"/>
    </row>
    <row r="24" spans="1:13" x14ac:dyDescent="0.2">
      <c r="A24" s="557"/>
      <c r="B24" s="557"/>
      <c r="C24" s="557"/>
      <c r="D24" s="557"/>
      <c r="E24" s="557"/>
      <c r="F24" s="557"/>
      <c r="G24" s="557"/>
      <c r="H24" s="557"/>
      <c r="I24" s="557"/>
      <c r="J24" s="557"/>
      <c r="K24" s="557"/>
      <c r="L24" s="557"/>
      <c r="M24" s="557"/>
    </row>
    <row r="25" spans="1:13" x14ac:dyDescent="0.2">
      <c r="A25" s="557"/>
      <c r="B25" s="557"/>
      <c r="C25" s="557"/>
      <c r="D25" s="557"/>
      <c r="E25" s="557"/>
      <c r="F25" s="557"/>
      <c r="G25" s="557"/>
      <c r="H25" s="557"/>
      <c r="I25" s="557"/>
      <c r="J25" s="557"/>
      <c r="K25" s="557"/>
      <c r="L25" s="557"/>
      <c r="M25" s="557"/>
    </row>
    <row r="26" spans="1:13" x14ac:dyDescent="0.2">
      <c r="A26" s="557"/>
      <c r="B26" s="557"/>
      <c r="C26" s="557"/>
      <c r="D26" s="557"/>
      <c r="E26" s="557"/>
      <c r="F26" s="557"/>
      <c r="G26" s="557"/>
      <c r="H26" s="557"/>
      <c r="I26" s="557"/>
      <c r="J26" s="557"/>
      <c r="K26" s="557"/>
      <c r="L26" s="557"/>
      <c r="M26" s="557"/>
    </row>
    <row r="27" spans="1:13" x14ac:dyDescent="0.2">
      <c r="A27" s="557"/>
      <c r="B27" s="557"/>
      <c r="C27" s="557"/>
      <c r="D27" s="557"/>
      <c r="E27" s="557"/>
      <c r="F27" s="557"/>
      <c r="G27" s="557"/>
      <c r="H27" s="557"/>
      <c r="I27" s="557"/>
      <c r="J27" s="557"/>
      <c r="K27" s="557"/>
      <c r="L27" s="557"/>
      <c r="M27" s="557"/>
    </row>
    <row r="28" spans="1:13" x14ac:dyDescent="0.2">
      <c r="A28" s="557"/>
      <c r="B28" s="557"/>
      <c r="C28" s="557"/>
      <c r="D28" s="557"/>
      <c r="E28" s="557"/>
      <c r="F28" s="557"/>
      <c r="G28" s="557"/>
      <c r="H28" s="557"/>
      <c r="I28" s="557"/>
      <c r="J28" s="557"/>
      <c r="K28" s="557"/>
      <c r="L28" s="557"/>
      <c r="M28" s="557"/>
    </row>
    <row r="29" spans="1:13" x14ac:dyDescent="0.2">
      <c r="A29" s="557"/>
      <c r="B29" s="557"/>
      <c r="C29" s="557"/>
      <c r="D29" s="557"/>
      <c r="E29" s="557"/>
      <c r="F29" s="557"/>
      <c r="G29" s="557"/>
      <c r="H29" s="557"/>
      <c r="I29" s="557"/>
      <c r="J29" s="557"/>
      <c r="K29" s="557"/>
      <c r="L29" s="557"/>
      <c r="M29" s="557"/>
    </row>
    <row r="30" spans="1:13" x14ac:dyDescent="0.2">
      <c r="A30" s="557"/>
      <c r="B30" s="557"/>
      <c r="C30" s="557"/>
      <c r="D30" s="557"/>
      <c r="E30" s="557"/>
      <c r="F30" s="557"/>
      <c r="G30" s="557"/>
      <c r="H30" s="557"/>
      <c r="I30" s="557"/>
      <c r="J30" s="557"/>
      <c r="K30" s="557"/>
      <c r="L30" s="557"/>
      <c r="M30" s="557"/>
    </row>
    <row r="31" spans="1:13" x14ac:dyDescent="0.2">
      <c r="A31" s="557"/>
      <c r="B31" s="557"/>
      <c r="C31" s="557"/>
      <c r="D31" s="557"/>
      <c r="E31" s="557"/>
      <c r="F31" s="557"/>
      <c r="G31" s="557"/>
      <c r="H31" s="557"/>
      <c r="I31" s="557"/>
      <c r="J31" s="557"/>
      <c r="K31" s="557"/>
      <c r="L31" s="557"/>
      <c r="M31" s="557"/>
    </row>
    <row r="32" spans="1:13" x14ac:dyDescent="0.2">
      <c r="A32" s="557"/>
      <c r="B32" s="557"/>
      <c r="C32" s="557"/>
      <c r="D32" s="557"/>
      <c r="E32" s="557"/>
      <c r="F32" s="557"/>
      <c r="G32" s="557"/>
      <c r="H32" s="557"/>
      <c r="I32" s="557"/>
      <c r="J32" s="557"/>
      <c r="K32" s="557"/>
      <c r="L32" s="557"/>
      <c r="M32" s="557"/>
    </row>
    <row r="33" spans="1:13" ht="87" customHeight="1" x14ac:dyDescent="0.2">
      <c r="A33" s="557"/>
      <c r="B33" s="557"/>
      <c r="C33" s="557"/>
      <c r="D33" s="557"/>
      <c r="E33" s="557"/>
      <c r="F33" s="557"/>
      <c r="G33" s="557"/>
      <c r="H33" s="557"/>
      <c r="I33" s="557"/>
      <c r="J33" s="557"/>
      <c r="K33" s="557"/>
      <c r="L33" s="557"/>
      <c r="M33" s="557"/>
    </row>
  </sheetData>
  <sheetProtection password="CC7A" sheet="1" objects="1" scenarios="1"/>
  <mergeCells count="3">
    <mergeCell ref="A2:M33"/>
    <mergeCell ref="A1:K1"/>
    <mergeCell ref="L1:M1"/>
  </mergeCells>
  <pageMargins left="0.7" right="0.7" top="0.75" bottom="0.75" header="0.3" footer="0.3"/>
  <pageSetup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F18"/>
  <sheetViews>
    <sheetView topLeftCell="A13" workbookViewId="0">
      <selection activeCell="F4" sqref="F4"/>
    </sheetView>
  </sheetViews>
  <sheetFormatPr defaultRowHeight="12.75" x14ac:dyDescent="0.2"/>
  <cols>
    <col min="1" max="1" width="24.42578125" customWidth="1"/>
    <col min="2" max="2" width="18.42578125" customWidth="1"/>
    <col min="3" max="3" width="15.28515625" customWidth="1"/>
    <col min="4" max="4" width="14.7109375" customWidth="1"/>
    <col min="5" max="5" width="16.140625" customWidth="1"/>
    <col min="6" max="6" width="14.42578125" customWidth="1"/>
  </cols>
  <sheetData>
    <row r="1" spans="1:6" ht="39.75" customHeight="1" x14ac:dyDescent="0.2">
      <c r="A1" s="644" t="s">
        <v>351</v>
      </c>
      <c r="B1" s="644"/>
      <c r="C1" s="644"/>
      <c r="D1" s="644"/>
      <c r="E1" s="644"/>
      <c r="F1" s="203" t="s">
        <v>352</v>
      </c>
    </row>
    <row r="3" spans="1:6" ht="25.5" x14ac:dyDescent="0.2">
      <c r="A3" s="38" t="s">
        <v>353</v>
      </c>
      <c r="B3" s="188" t="s">
        <v>354</v>
      </c>
      <c r="C3" s="188"/>
      <c r="D3" s="188"/>
      <c r="E3" s="188"/>
      <c r="F3" s="182"/>
    </row>
    <row r="4" spans="1:6" x14ac:dyDescent="0.2">
      <c r="A4" s="182" t="s">
        <v>355</v>
      </c>
      <c r="B4" s="188"/>
      <c r="C4" s="188"/>
      <c r="D4" s="188"/>
      <c r="E4" s="188"/>
      <c r="F4" s="182"/>
    </row>
    <row r="5" spans="1:6" x14ac:dyDescent="0.2">
      <c r="A5" s="200" t="s">
        <v>356</v>
      </c>
      <c r="B5" s="188"/>
      <c r="C5" s="188"/>
      <c r="D5" s="188"/>
      <c r="E5" s="188"/>
      <c r="F5" s="182"/>
    </row>
    <row r="6" spans="1:6" ht="25.5" x14ac:dyDescent="0.2">
      <c r="A6" s="38" t="s">
        <v>357</v>
      </c>
      <c r="B6" s="188" t="s">
        <v>358</v>
      </c>
      <c r="C6" s="188" t="s">
        <v>359</v>
      </c>
      <c r="D6" s="188" t="s">
        <v>106</v>
      </c>
      <c r="E6" s="188" t="s">
        <v>320</v>
      </c>
      <c r="F6" s="182"/>
    </row>
    <row r="7" spans="1:6" x14ac:dyDescent="0.2">
      <c r="A7" s="182" t="s">
        <v>355</v>
      </c>
      <c r="B7" s="188" t="s">
        <v>360</v>
      </c>
      <c r="C7" s="188">
        <v>350000</v>
      </c>
      <c r="D7" s="188" t="s">
        <v>323</v>
      </c>
      <c r="E7" s="188">
        <v>350000</v>
      </c>
      <c r="F7" s="182"/>
    </row>
    <row r="8" spans="1:6" x14ac:dyDescent="0.2">
      <c r="A8" s="200" t="s">
        <v>356</v>
      </c>
      <c r="B8" s="188" t="s">
        <v>361</v>
      </c>
      <c r="C8" s="188">
        <v>100000</v>
      </c>
      <c r="D8" s="188" t="s">
        <v>323</v>
      </c>
      <c r="E8" s="188"/>
      <c r="F8" s="182"/>
    </row>
    <row r="9" spans="1:6" x14ac:dyDescent="0.2">
      <c r="A9" s="38"/>
      <c r="B9" s="188" t="s">
        <v>362</v>
      </c>
      <c r="C9" s="188">
        <v>100000</v>
      </c>
      <c r="D9" s="188" t="s">
        <v>323</v>
      </c>
      <c r="E9" s="188"/>
      <c r="F9" s="182"/>
    </row>
    <row r="10" spans="1:6" ht="25.5" x14ac:dyDescent="0.2">
      <c r="A10" s="38"/>
      <c r="B10" s="182" t="s">
        <v>363</v>
      </c>
      <c r="C10" s="188">
        <v>50000</v>
      </c>
      <c r="D10" s="188" t="s">
        <v>323</v>
      </c>
      <c r="E10" s="46"/>
      <c r="F10" s="182"/>
    </row>
    <row r="11" spans="1:6" ht="25.5" x14ac:dyDescent="0.2">
      <c r="A11" s="182"/>
      <c r="B11" s="188" t="s">
        <v>364</v>
      </c>
      <c r="C11" s="199">
        <v>150000</v>
      </c>
      <c r="D11" s="188" t="s">
        <v>323</v>
      </c>
      <c r="E11" s="188"/>
      <c r="F11" s="47"/>
    </row>
    <row r="12" spans="1:6" ht="14.25" x14ac:dyDescent="0.2">
      <c r="A12" s="182"/>
      <c r="B12" s="188"/>
      <c r="C12" s="188"/>
      <c r="D12" s="188"/>
      <c r="E12" s="188"/>
      <c r="F12" s="47"/>
    </row>
    <row r="13" spans="1:6" ht="25.5" x14ac:dyDescent="0.2">
      <c r="A13" s="38" t="s">
        <v>341</v>
      </c>
      <c r="B13" s="188" t="s">
        <v>365</v>
      </c>
      <c r="C13" s="188">
        <v>1500000</v>
      </c>
      <c r="D13" s="188" t="s">
        <v>366</v>
      </c>
      <c r="E13" s="188" t="s">
        <v>367</v>
      </c>
      <c r="F13" s="47"/>
    </row>
    <row r="14" spans="1:6" ht="25.5" x14ac:dyDescent="0.2">
      <c r="A14" s="51" t="s">
        <v>368</v>
      </c>
      <c r="B14" s="47"/>
      <c r="C14" s="47"/>
      <c r="D14" s="47"/>
      <c r="E14" s="47"/>
      <c r="F14" s="47"/>
    </row>
    <row r="15" spans="1:6" ht="14.25" x14ac:dyDescent="0.2">
      <c r="A15" s="47"/>
      <c r="B15" s="47"/>
      <c r="C15" s="47"/>
      <c r="D15" s="47"/>
      <c r="E15" s="47"/>
      <c r="F15" s="47"/>
    </row>
    <row r="16" spans="1:6" x14ac:dyDescent="0.2">
      <c r="A16" s="38" t="s">
        <v>344</v>
      </c>
      <c r="B16" s="188" t="s">
        <v>345</v>
      </c>
      <c r="C16" s="188" t="s">
        <v>345</v>
      </c>
      <c r="D16" s="188" t="s">
        <v>345</v>
      </c>
      <c r="E16" s="188" t="s">
        <v>345</v>
      </c>
      <c r="F16" s="188" t="s">
        <v>342</v>
      </c>
    </row>
    <row r="17" spans="1:6" ht="14.25" x14ac:dyDescent="0.2">
      <c r="A17" s="51" t="s">
        <v>346</v>
      </c>
      <c r="B17" s="47"/>
      <c r="C17" s="47"/>
      <c r="D17" s="47"/>
      <c r="E17" s="47"/>
      <c r="F17" s="182"/>
    </row>
    <row r="18" spans="1:6" ht="14.25" x14ac:dyDescent="0.2">
      <c r="A18" s="47"/>
      <c r="B18" s="47"/>
      <c r="C18" s="47"/>
      <c r="D18" s="47"/>
      <c r="E18" s="47"/>
      <c r="F18" s="47"/>
    </row>
  </sheetData>
  <mergeCells count="1">
    <mergeCell ref="A1:E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8" tint="0.79998168889431442"/>
    <pageSetUpPr fitToPage="1"/>
  </sheetPr>
  <dimension ref="A1:I30"/>
  <sheetViews>
    <sheetView topLeftCell="A4" workbookViewId="0">
      <selection activeCell="M41" sqref="M41"/>
    </sheetView>
  </sheetViews>
  <sheetFormatPr defaultRowHeight="12.75" x14ac:dyDescent="0.2"/>
  <cols>
    <col min="2" max="2" width="21.85546875" customWidth="1"/>
    <col min="3" max="3" width="14.5703125" customWidth="1"/>
    <col min="4" max="4" width="14.85546875" bestFit="1" customWidth="1"/>
    <col min="5" max="5" width="16" customWidth="1"/>
    <col min="6" max="6" width="14.85546875" customWidth="1"/>
    <col min="7" max="7" width="12.28515625" customWidth="1"/>
    <col min="8" max="8" width="11.5703125" customWidth="1"/>
  </cols>
  <sheetData>
    <row r="1" spans="1:9" ht="30.75" customHeight="1" x14ac:dyDescent="0.2">
      <c r="A1" s="646" t="s">
        <v>369</v>
      </c>
      <c r="B1" s="646"/>
      <c r="C1" s="646"/>
      <c r="D1" s="646"/>
      <c r="E1" s="646"/>
      <c r="F1" s="646"/>
      <c r="G1" s="646"/>
      <c r="H1" s="647" t="s">
        <v>370</v>
      </c>
      <c r="I1" s="647"/>
    </row>
    <row r="2" spans="1:9" ht="60" customHeight="1" x14ac:dyDescent="0.2">
      <c r="A2" s="38" t="s">
        <v>46</v>
      </c>
      <c r="B2" s="38" t="s">
        <v>371</v>
      </c>
      <c r="C2" s="38" t="s">
        <v>372</v>
      </c>
      <c r="D2" s="38" t="s">
        <v>373</v>
      </c>
      <c r="E2" s="38" t="s">
        <v>374</v>
      </c>
      <c r="F2" s="38" t="s">
        <v>375</v>
      </c>
      <c r="G2" s="38" t="s">
        <v>376</v>
      </c>
      <c r="H2" s="38" t="s">
        <v>377</v>
      </c>
      <c r="I2" s="38" t="s">
        <v>378</v>
      </c>
    </row>
    <row r="3" spans="1:9" s="35" customFormat="1" x14ac:dyDescent="0.2">
      <c r="A3" s="39">
        <v>1</v>
      </c>
      <c r="B3" s="191" t="s">
        <v>379</v>
      </c>
      <c r="C3" s="39" t="s">
        <v>380</v>
      </c>
      <c r="D3" s="192" t="s">
        <v>380</v>
      </c>
      <c r="E3" s="39" t="s">
        <v>380</v>
      </c>
      <c r="F3" s="39" t="s">
        <v>119</v>
      </c>
      <c r="G3" s="39" t="s">
        <v>381</v>
      </c>
      <c r="H3" s="39" t="s">
        <v>382</v>
      </c>
      <c r="I3" s="45"/>
    </row>
    <row r="4" spans="1:9" ht="25.5" x14ac:dyDescent="0.2">
      <c r="A4" s="40">
        <v>2</v>
      </c>
      <c r="B4" s="193" t="s">
        <v>383</v>
      </c>
      <c r="C4" s="40" t="s">
        <v>380</v>
      </c>
      <c r="D4" s="194" t="s">
        <v>119</v>
      </c>
      <c r="E4" s="40" t="s">
        <v>119</v>
      </c>
      <c r="F4" s="40"/>
      <c r="G4" s="40"/>
      <c r="H4" s="40"/>
      <c r="I4" s="43"/>
    </row>
    <row r="5" spans="1:9" x14ac:dyDescent="0.2">
      <c r="A5" s="41"/>
      <c r="B5" s="42" t="s">
        <v>384</v>
      </c>
      <c r="C5" s="40" t="s">
        <v>380</v>
      </c>
      <c r="D5" s="194" t="s">
        <v>380</v>
      </c>
      <c r="E5" s="40" t="s">
        <v>380</v>
      </c>
      <c r="F5" s="40"/>
      <c r="G5" s="40"/>
      <c r="H5" s="40"/>
      <c r="I5" s="40" t="s">
        <v>119</v>
      </c>
    </row>
    <row r="6" spans="1:9" ht="25.5" x14ac:dyDescent="0.2">
      <c r="A6" s="40">
        <v>3</v>
      </c>
      <c r="B6" s="193" t="s">
        <v>385</v>
      </c>
      <c r="C6" s="40" t="s">
        <v>119</v>
      </c>
      <c r="D6" s="194" t="s">
        <v>119</v>
      </c>
      <c r="E6" s="40" t="s">
        <v>223</v>
      </c>
      <c r="F6" s="40"/>
      <c r="G6" s="40"/>
      <c r="H6" s="40"/>
      <c r="I6" s="43"/>
    </row>
    <row r="7" spans="1:9" ht="38.25" x14ac:dyDescent="0.2">
      <c r="A7" s="40">
        <v>4</v>
      </c>
      <c r="B7" s="193" t="s">
        <v>386</v>
      </c>
      <c r="C7" s="40" t="s">
        <v>119</v>
      </c>
      <c r="D7" s="194" t="s">
        <v>119</v>
      </c>
      <c r="E7" s="40"/>
      <c r="F7" s="40"/>
      <c r="G7" s="40"/>
      <c r="H7" s="40"/>
      <c r="I7" s="43"/>
    </row>
    <row r="8" spans="1:9" ht="38.25" x14ac:dyDescent="0.2">
      <c r="A8" s="40">
        <v>4</v>
      </c>
      <c r="B8" s="193" t="s">
        <v>387</v>
      </c>
      <c r="C8" s="40" t="s">
        <v>380</v>
      </c>
      <c r="D8" s="197" t="s">
        <v>119</v>
      </c>
      <c r="E8" s="40" t="s">
        <v>119</v>
      </c>
      <c r="F8" s="40"/>
      <c r="G8" s="40"/>
      <c r="H8" s="40"/>
      <c r="I8" s="43"/>
    </row>
    <row r="9" spans="1:9" x14ac:dyDescent="0.2">
      <c r="A9" s="40">
        <v>5</v>
      </c>
      <c r="B9" s="42" t="s">
        <v>388</v>
      </c>
      <c r="C9" s="194" t="s">
        <v>119</v>
      </c>
      <c r="D9" s="194" t="s">
        <v>119</v>
      </c>
      <c r="E9" s="40" t="s">
        <v>119</v>
      </c>
      <c r="F9" s="40"/>
      <c r="G9" s="40"/>
      <c r="H9" s="43"/>
      <c r="I9" s="43"/>
    </row>
    <row r="10" spans="1:9" ht="25.5" x14ac:dyDescent="0.2">
      <c r="A10" s="40">
        <v>7</v>
      </c>
      <c r="B10" s="42" t="s">
        <v>389</v>
      </c>
      <c r="C10" s="40" t="s">
        <v>119</v>
      </c>
      <c r="D10" s="194" t="s">
        <v>119</v>
      </c>
      <c r="E10" s="40" t="s">
        <v>223</v>
      </c>
      <c r="F10" s="40"/>
      <c r="G10" s="40"/>
      <c r="H10" s="43"/>
      <c r="I10" s="43"/>
    </row>
    <row r="11" spans="1:9" ht="25.5" x14ac:dyDescent="0.2">
      <c r="A11" s="40">
        <v>7</v>
      </c>
      <c r="B11" s="193" t="s">
        <v>390</v>
      </c>
      <c r="C11" s="40" t="s">
        <v>380</v>
      </c>
      <c r="D11" s="194" t="s">
        <v>380</v>
      </c>
      <c r="E11" s="40" t="s">
        <v>119</v>
      </c>
      <c r="F11" s="40" t="s">
        <v>223</v>
      </c>
      <c r="G11" s="40" t="s">
        <v>223</v>
      </c>
      <c r="H11" s="43"/>
      <c r="I11" s="43"/>
    </row>
    <row r="12" spans="1:9" ht="25.5" x14ac:dyDescent="0.2">
      <c r="A12" s="40">
        <v>7</v>
      </c>
      <c r="B12" s="193" t="s">
        <v>391</v>
      </c>
      <c r="C12" s="40" t="s">
        <v>380</v>
      </c>
      <c r="D12" s="194" t="s">
        <v>380</v>
      </c>
      <c r="E12" s="40" t="s">
        <v>380</v>
      </c>
      <c r="F12" s="40" t="s">
        <v>119</v>
      </c>
      <c r="G12" s="40"/>
      <c r="H12" s="43"/>
      <c r="I12" s="43"/>
    </row>
    <row r="13" spans="1:9" ht="25.5" x14ac:dyDescent="0.2">
      <c r="A13" s="40">
        <v>8</v>
      </c>
      <c r="B13" s="193" t="s">
        <v>392</v>
      </c>
      <c r="C13" s="40" t="s">
        <v>380</v>
      </c>
      <c r="D13" s="197" t="s">
        <v>119</v>
      </c>
      <c r="E13" s="40" t="s">
        <v>119</v>
      </c>
      <c r="F13" s="40"/>
      <c r="G13" s="40"/>
      <c r="H13" s="43"/>
      <c r="I13" s="43"/>
    </row>
    <row r="14" spans="1:9" x14ac:dyDescent="0.2">
      <c r="A14" s="40">
        <v>9</v>
      </c>
      <c r="B14" s="193" t="s">
        <v>393</v>
      </c>
      <c r="C14" s="40" t="s">
        <v>380</v>
      </c>
      <c r="D14" s="194"/>
      <c r="E14" s="40" t="s">
        <v>380</v>
      </c>
      <c r="F14" s="40" t="s">
        <v>119</v>
      </c>
      <c r="G14" s="40" t="s">
        <v>223</v>
      </c>
      <c r="H14" s="43"/>
      <c r="I14" s="43"/>
    </row>
    <row r="15" spans="1:9" ht="38.25" x14ac:dyDescent="0.2">
      <c r="A15" s="197">
        <v>9</v>
      </c>
      <c r="B15" s="198" t="s">
        <v>394</v>
      </c>
      <c r="C15" s="194" t="s">
        <v>380</v>
      </c>
      <c r="D15" s="194" t="s">
        <v>380</v>
      </c>
      <c r="E15" s="197" t="s">
        <v>119</v>
      </c>
      <c r="F15" s="40"/>
      <c r="G15" s="40"/>
      <c r="H15" s="43"/>
      <c r="I15" s="43"/>
    </row>
    <row r="16" spans="1:9" x14ac:dyDescent="0.2">
      <c r="A16" s="40">
        <v>10</v>
      </c>
      <c r="B16" s="42" t="s">
        <v>395</v>
      </c>
      <c r="C16" s="194" t="s">
        <v>119</v>
      </c>
      <c r="D16" s="194" t="s">
        <v>119</v>
      </c>
      <c r="E16" s="40" t="s">
        <v>119</v>
      </c>
      <c r="F16" s="40"/>
      <c r="G16" s="40"/>
      <c r="H16" s="43"/>
      <c r="I16" s="43"/>
    </row>
    <row r="17" spans="1:9" x14ac:dyDescent="0.2">
      <c r="A17" s="40">
        <v>10</v>
      </c>
      <c r="B17" s="42" t="s">
        <v>396</v>
      </c>
      <c r="C17" s="40" t="s">
        <v>380</v>
      </c>
      <c r="D17" s="194" t="s">
        <v>380</v>
      </c>
      <c r="E17" s="40" t="s">
        <v>380</v>
      </c>
      <c r="F17" s="40" t="s">
        <v>119</v>
      </c>
      <c r="G17" s="40" t="s">
        <v>223</v>
      </c>
      <c r="H17" s="43"/>
      <c r="I17" s="43"/>
    </row>
    <row r="18" spans="1:9" ht="63.75" x14ac:dyDescent="0.2">
      <c r="A18" s="40">
        <v>11</v>
      </c>
      <c r="B18" s="44" t="s">
        <v>397</v>
      </c>
      <c r="C18" s="194" t="s">
        <v>119</v>
      </c>
      <c r="D18" s="194" t="s">
        <v>119</v>
      </c>
      <c r="E18" s="194" t="s">
        <v>119</v>
      </c>
      <c r="F18" s="40"/>
      <c r="G18" s="40"/>
      <c r="H18" s="43"/>
      <c r="I18" s="43"/>
    </row>
    <row r="19" spans="1:9" ht="63.75" x14ac:dyDescent="0.2">
      <c r="A19" s="40">
        <v>12</v>
      </c>
      <c r="B19" s="44" t="s">
        <v>398</v>
      </c>
      <c r="C19" s="194" t="s">
        <v>119</v>
      </c>
      <c r="D19" s="194" t="s">
        <v>119</v>
      </c>
      <c r="E19" s="194" t="s">
        <v>119</v>
      </c>
      <c r="F19" s="40"/>
      <c r="G19" s="40"/>
      <c r="H19" s="43"/>
      <c r="I19" s="43"/>
    </row>
    <row r="20" spans="1:9" x14ac:dyDescent="0.2">
      <c r="A20" s="40">
        <v>13</v>
      </c>
      <c r="B20" s="42" t="s">
        <v>399</v>
      </c>
      <c r="C20" s="40" t="s">
        <v>380</v>
      </c>
      <c r="D20" s="194" t="s">
        <v>380</v>
      </c>
      <c r="E20" s="40" t="s">
        <v>380</v>
      </c>
      <c r="F20" s="40" t="s">
        <v>380</v>
      </c>
      <c r="G20" s="40"/>
      <c r="H20" s="43"/>
      <c r="I20" s="43"/>
    </row>
    <row r="21" spans="1:9" x14ac:dyDescent="0.2">
      <c r="A21" s="40">
        <v>14</v>
      </c>
      <c r="B21" s="42" t="s">
        <v>400</v>
      </c>
      <c r="C21" s="40" t="s">
        <v>380</v>
      </c>
      <c r="D21" s="194" t="s">
        <v>380</v>
      </c>
      <c r="E21" s="40" t="s">
        <v>380</v>
      </c>
      <c r="F21" s="40" t="s">
        <v>380</v>
      </c>
      <c r="G21" s="40"/>
      <c r="H21" s="43"/>
      <c r="I21" s="43"/>
    </row>
    <row r="22" spans="1:9" ht="25.5" x14ac:dyDescent="0.2">
      <c r="A22" s="40">
        <v>15</v>
      </c>
      <c r="B22" s="193" t="s">
        <v>401</v>
      </c>
      <c r="C22" s="40" t="s">
        <v>380</v>
      </c>
      <c r="D22" s="194" t="s">
        <v>380</v>
      </c>
      <c r="E22" s="40" t="s">
        <v>380</v>
      </c>
      <c r="F22" s="40" t="s">
        <v>119</v>
      </c>
      <c r="G22" s="40"/>
      <c r="H22" s="43"/>
      <c r="I22" s="43"/>
    </row>
    <row r="23" spans="1:9" x14ac:dyDescent="0.2">
      <c r="A23" s="40">
        <v>20</v>
      </c>
      <c r="B23" s="42" t="s">
        <v>402</v>
      </c>
      <c r="C23" s="40" t="s">
        <v>119</v>
      </c>
      <c r="D23" s="194" t="s">
        <v>119</v>
      </c>
      <c r="E23" s="40"/>
      <c r="F23" s="40"/>
      <c r="G23" s="40"/>
      <c r="H23" s="43"/>
      <c r="I23" s="43"/>
    </row>
    <row r="24" spans="1:9" ht="38.25" x14ac:dyDescent="0.2">
      <c r="A24" s="40">
        <v>21</v>
      </c>
      <c r="B24" s="193" t="s">
        <v>403</v>
      </c>
      <c r="C24" s="40" t="s">
        <v>119</v>
      </c>
      <c r="D24" s="194" t="s">
        <v>119</v>
      </c>
      <c r="E24" s="40"/>
      <c r="F24" s="40"/>
      <c r="G24" s="40"/>
      <c r="H24" s="43"/>
      <c r="I24" s="43"/>
    </row>
    <row r="25" spans="1:9" ht="25.5" x14ac:dyDescent="0.2">
      <c r="A25" s="40">
        <v>21</v>
      </c>
      <c r="B25" s="193" t="s">
        <v>404</v>
      </c>
      <c r="C25" s="40" t="s">
        <v>380</v>
      </c>
      <c r="D25" s="194" t="s">
        <v>380</v>
      </c>
      <c r="E25" s="40" t="s">
        <v>119</v>
      </c>
      <c r="F25" s="40"/>
      <c r="G25" s="40"/>
      <c r="H25" s="43"/>
      <c r="I25" s="43"/>
    </row>
    <row r="26" spans="1:9" x14ac:dyDescent="0.2">
      <c r="A26" s="40">
        <v>24</v>
      </c>
      <c r="B26" s="42" t="s">
        <v>405</v>
      </c>
      <c r="C26" s="40" t="s">
        <v>119</v>
      </c>
      <c r="D26" s="194" t="s">
        <v>119</v>
      </c>
      <c r="E26" s="40"/>
      <c r="F26" s="40"/>
      <c r="G26" s="40"/>
      <c r="H26" s="43"/>
      <c r="I26" s="43"/>
    </row>
    <row r="27" spans="1:9" ht="25.5" x14ac:dyDescent="0.2">
      <c r="A27" s="40">
        <v>25</v>
      </c>
      <c r="B27" s="193" t="s">
        <v>406</v>
      </c>
      <c r="C27" s="40" t="s">
        <v>119</v>
      </c>
      <c r="D27" s="40"/>
      <c r="E27" s="40"/>
      <c r="F27" s="40"/>
      <c r="G27" s="40"/>
      <c r="H27" s="43"/>
      <c r="I27" s="43"/>
    </row>
    <row r="28" spans="1:9" x14ac:dyDescent="0.2">
      <c r="A28" s="40">
        <v>26</v>
      </c>
      <c r="B28" s="193" t="s">
        <v>407</v>
      </c>
      <c r="C28" s="40" t="s">
        <v>380</v>
      </c>
      <c r="D28" s="194" t="s">
        <v>119</v>
      </c>
      <c r="E28" s="194" t="s">
        <v>119</v>
      </c>
      <c r="F28" s="40" t="s">
        <v>119</v>
      </c>
      <c r="G28" s="40"/>
      <c r="H28" s="43"/>
      <c r="I28" s="43"/>
    </row>
    <row r="29" spans="1:9" ht="25.5" x14ac:dyDescent="0.2">
      <c r="A29" s="40">
        <v>27</v>
      </c>
      <c r="B29" s="42" t="s">
        <v>408</v>
      </c>
      <c r="C29" s="40" t="s">
        <v>380</v>
      </c>
      <c r="D29" s="194" t="s">
        <v>409</v>
      </c>
      <c r="E29" s="194" t="s">
        <v>410</v>
      </c>
      <c r="F29" s="194" t="s">
        <v>119</v>
      </c>
      <c r="G29" s="40"/>
      <c r="H29" s="43"/>
      <c r="I29" s="43"/>
    </row>
    <row r="30" spans="1:9" ht="38.25" x14ac:dyDescent="0.2">
      <c r="A30" s="197">
        <v>28</v>
      </c>
      <c r="B30" s="198" t="s">
        <v>411</v>
      </c>
      <c r="C30" s="197" t="s">
        <v>119</v>
      </c>
      <c r="D30" s="197" t="s">
        <v>119</v>
      </c>
      <c r="E30" s="197" t="s">
        <v>119</v>
      </c>
      <c r="F30" s="194"/>
      <c r="G30" s="40"/>
      <c r="H30" s="43"/>
      <c r="I30" s="43"/>
    </row>
  </sheetData>
  <mergeCells count="2">
    <mergeCell ref="A1:G1"/>
    <mergeCell ref="H1:I1"/>
  </mergeCells>
  <pageMargins left="0.7" right="0.7" top="0.75" bottom="0.75" header="0.3" footer="0.3"/>
  <pageSetup scale="74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theme="8" tint="0.79998168889431442"/>
  </sheetPr>
  <dimension ref="A1:H114"/>
  <sheetViews>
    <sheetView zoomScaleNormal="100" workbookViewId="0">
      <selection activeCell="M41" sqref="M41"/>
    </sheetView>
  </sheetViews>
  <sheetFormatPr defaultRowHeight="12.75" x14ac:dyDescent="0.2"/>
  <cols>
    <col min="1" max="1" width="27.140625" customWidth="1"/>
    <col min="2" max="2" width="13.5703125" customWidth="1"/>
    <col min="3" max="3" width="14.28515625" customWidth="1"/>
    <col min="4" max="4" width="13.85546875" customWidth="1"/>
    <col min="5" max="5" width="0.5703125" customWidth="1"/>
    <col min="6" max="6" width="14.140625" customWidth="1"/>
    <col min="7" max="7" width="0.7109375" customWidth="1"/>
    <col min="8" max="8" width="14" customWidth="1"/>
    <col min="9" max="9" width="0.85546875" customWidth="1"/>
  </cols>
  <sheetData>
    <row r="1" spans="1:8" x14ac:dyDescent="0.2">
      <c r="A1" s="13" t="s">
        <v>412</v>
      </c>
      <c r="B1" t="s">
        <v>223</v>
      </c>
      <c r="C1" s="202" t="s">
        <v>413</v>
      </c>
      <c r="D1" s="13" t="s">
        <v>414</v>
      </c>
      <c r="F1" t="s">
        <v>223</v>
      </c>
      <c r="H1" s="13" t="s">
        <v>223</v>
      </c>
    </row>
    <row r="3" spans="1:8" x14ac:dyDescent="0.2">
      <c r="A3" t="s">
        <v>415</v>
      </c>
      <c r="D3" t="s">
        <v>416</v>
      </c>
    </row>
    <row r="4" spans="1:8" x14ac:dyDescent="0.2">
      <c r="A4" t="s">
        <v>417</v>
      </c>
      <c r="D4" t="s">
        <v>416</v>
      </c>
    </row>
    <row r="5" spans="1:8" x14ac:dyDescent="0.2">
      <c r="A5" t="s">
        <v>418</v>
      </c>
      <c r="B5" t="s">
        <v>419</v>
      </c>
      <c r="D5" t="s">
        <v>420</v>
      </c>
    </row>
    <row r="6" spans="1:8" x14ac:dyDescent="0.2">
      <c r="A6" t="s">
        <v>418</v>
      </c>
      <c r="B6" t="s">
        <v>421</v>
      </c>
      <c r="D6" t="s">
        <v>422</v>
      </c>
    </row>
    <row r="7" spans="1:8" x14ac:dyDescent="0.2">
      <c r="A7" t="s">
        <v>423</v>
      </c>
      <c r="D7" t="s">
        <v>424</v>
      </c>
    </row>
    <row r="8" spans="1:8" x14ac:dyDescent="0.2">
      <c r="A8" t="s">
        <v>425</v>
      </c>
      <c r="D8" t="s">
        <v>424</v>
      </c>
    </row>
    <row r="9" spans="1:8" x14ac:dyDescent="0.2">
      <c r="A9" t="s">
        <v>426</v>
      </c>
      <c r="B9" t="s">
        <v>427</v>
      </c>
      <c r="D9" t="s">
        <v>416</v>
      </c>
    </row>
    <row r="10" spans="1:8" x14ac:dyDescent="0.2">
      <c r="A10" t="s">
        <v>428</v>
      </c>
      <c r="B10" t="s">
        <v>429</v>
      </c>
      <c r="D10" t="s">
        <v>430</v>
      </c>
    </row>
    <row r="11" spans="1:8" x14ac:dyDescent="0.2">
      <c r="A11" t="s">
        <v>431</v>
      </c>
      <c r="D11" t="s">
        <v>416</v>
      </c>
    </row>
    <row r="12" spans="1:8" x14ac:dyDescent="0.2">
      <c r="A12" t="s">
        <v>432</v>
      </c>
      <c r="D12" t="s">
        <v>433</v>
      </c>
    </row>
    <row r="13" spans="1:8" x14ac:dyDescent="0.2">
      <c r="A13" t="s">
        <v>434</v>
      </c>
      <c r="D13" t="s">
        <v>416</v>
      </c>
    </row>
    <row r="14" spans="1:8" x14ac:dyDescent="0.2">
      <c r="A14" t="s">
        <v>435</v>
      </c>
      <c r="B14" t="s">
        <v>427</v>
      </c>
      <c r="D14" t="s">
        <v>416</v>
      </c>
    </row>
    <row r="15" spans="1:8" x14ac:dyDescent="0.2">
      <c r="A15" t="s">
        <v>436</v>
      </c>
      <c r="B15" t="s">
        <v>429</v>
      </c>
      <c r="D15" t="s">
        <v>430</v>
      </c>
    </row>
    <row r="16" spans="1:8" x14ac:dyDescent="0.2">
      <c r="A16" t="s">
        <v>437</v>
      </c>
      <c r="B16" t="s">
        <v>438</v>
      </c>
      <c r="D16" t="s">
        <v>422</v>
      </c>
    </row>
    <row r="17" spans="1:8" x14ac:dyDescent="0.2">
      <c r="A17" t="s">
        <v>439</v>
      </c>
      <c r="D17" t="s">
        <v>424</v>
      </c>
    </row>
    <row r="19" spans="1:8" x14ac:dyDescent="0.2">
      <c r="A19" t="s">
        <v>440</v>
      </c>
      <c r="B19" t="s">
        <v>223</v>
      </c>
      <c r="D19" t="s">
        <v>223</v>
      </c>
      <c r="H19" t="s">
        <v>223</v>
      </c>
    </row>
    <row r="20" spans="1:8" x14ac:dyDescent="0.2">
      <c r="A20" t="s">
        <v>441</v>
      </c>
      <c r="C20" s="73" t="s">
        <v>413</v>
      </c>
      <c r="D20" t="s">
        <v>442</v>
      </c>
    </row>
    <row r="21" spans="1:8" x14ac:dyDescent="0.2">
      <c r="A21" t="s">
        <v>443</v>
      </c>
      <c r="B21" t="s">
        <v>444</v>
      </c>
      <c r="C21" s="73" t="s">
        <v>445</v>
      </c>
      <c r="D21" s="73" t="s">
        <v>446</v>
      </c>
    </row>
    <row r="22" spans="1:8" x14ac:dyDescent="0.2">
      <c r="A22" t="s">
        <v>447</v>
      </c>
      <c r="B22" t="s">
        <v>448</v>
      </c>
      <c r="C22" s="73" t="s">
        <v>416</v>
      </c>
      <c r="D22" s="73" t="s">
        <v>445</v>
      </c>
    </row>
    <row r="23" spans="1:8" x14ac:dyDescent="0.2">
      <c r="A23" t="s">
        <v>449</v>
      </c>
      <c r="B23" t="s">
        <v>450</v>
      </c>
      <c r="C23" s="73" t="s">
        <v>433</v>
      </c>
      <c r="D23" s="73" t="s">
        <v>416</v>
      </c>
    </row>
    <row r="25" spans="1:8" x14ac:dyDescent="0.2">
      <c r="A25" s="13" t="s">
        <v>451</v>
      </c>
    </row>
    <row r="27" spans="1:8" x14ac:dyDescent="0.2">
      <c r="A27" t="s">
        <v>452</v>
      </c>
    </row>
    <row r="28" spans="1:8" x14ac:dyDescent="0.2">
      <c r="A28" t="s">
        <v>453</v>
      </c>
      <c r="D28" t="s">
        <v>416</v>
      </c>
    </row>
    <row r="29" spans="1:8" x14ac:dyDescent="0.2">
      <c r="A29" t="s">
        <v>454</v>
      </c>
      <c r="B29" t="s">
        <v>455</v>
      </c>
      <c r="D29" t="s">
        <v>456</v>
      </c>
    </row>
    <row r="30" spans="1:8" x14ac:dyDescent="0.2">
      <c r="B30" t="s">
        <v>457</v>
      </c>
      <c r="D30" t="s">
        <v>458</v>
      </c>
    </row>
    <row r="31" spans="1:8" x14ac:dyDescent="0.2">
      <c r="B31" t="s">
        <v>459</v>
      </c>
      <c r="D31" t="s">
        <v>460</v>
      </c>
    </row>
    <row r="33" spans="1:4" x14ac:dyDescent="0.2">
      <c r="A33" t="s">
        <v>461</v>
      </c>
      <c r="B33" t="s">
        <v>462</v>
      </c>
      <c r="D33" t="s">
        <v>433</v>
      </c>
    </row>
    <row r="34" spans="1:4" x14ac:dyDescent="0.2">
      <c r="A34" t="s">
        <v>463</v>
      </c>
      <c r="B34" t="s">
        <v>444</v>
      </c>
      <c r="D34" t="s">
        <v>416</v>
      </c>
    </row>
    <row r="36" spans="1:4" x14ac:dyDescent="0.2">
      <c r="A36" t="s">
        <v>464</v>
      </c>
      <c r="B36" t="s">
        <v>444</v>
      </c>
      <c r="D36" t="s">
        <v>465</v>
      </c>
    </row>
    <row r="37" spans="1:4" x14ac:dyDescent="0.2">
      <c r="B37" t="s">
        <v>462</v>
      </c>
      <c r="D37" t="s">
        <v>416</v>
      </c>
    </row>
    <row r="39" spans="1:4" x14ac:dyDescent="0.2">
      <c r="A39" t="s">
        <v>466</v>
      </c>
      <c r="B39" t="s">
        <v>467</v>
      </c>
      <c r="D39" t="s">
        <v>468</v>
      </c>
    </row>
    <row r="40" spans="1:4" x14ac:dyDescent="0.2">
      <c r="B40" t="s">
        <v>469</v>
      </c>
    </row>
    <row r="42" spans="1:4" x14ac:dyDescent="0.2">
      <c r="A42" t="s">
        <v>470</v>
      </c>
      <c r="B42" t="s">
        <v>471</v>
      </c>
      <c r="D42" t="s">
        <v>472</v>
      </c>
    </row>
    <row r="43" spans="1:4" x14ac:dyDescent="0.2">
      <c r="B43" t="s">
        <v>473</v>
      </c>
      <c r="D43" t="s">
        <v>474</v>
      </c>
    </row>
    <row r="44" spans="1:4" x14ac:dyDescent="0.2">
      <c r="B44" t="s">
        <v>475</v>
      </c>
    </row>
    <row r="46" spans="1:4" x14ac:dyDescent="0.2">
      <c r="A46" t="s">
        <v>476</v>
      </c>
    </row>
    <row r="47" spans="1:4" x14ac:dyDescent="0.2">
      <c r="A47" t="s">
        <v>477</v>
      </c>
      <c r="D47" t="s">
        <v>420</v>
      </c>
    </row>
    <row r="48" spans="1:4" x14ac:dyDescent="0.2">
      <c r="A48" t="s">
        <v>478</v>
      </c>
      <c r="D48" t="s">
        <v>479</v>
      </c>
    </row>
    <row r="49" spans="1:4" x14ac:dyDescent="0.2">
      <c r="A49" t="s">
        <v>480</v>
      </c>
      <c r="D49" t="s">
        <v>420</v>
      </c>
    </row>
    <row r="50" spans="1:4" x14ac:dyDescent="0.2">
      <c r="A50" t="s">
        <v>481</v>
      </c>
      <c r="B50" t="s">
        <v>482</v>
      </c>
      <c r="D50" t="s">
        <v>483</v>
      </c>
    </row>
    <row r="51" spans="1:4" x14ac:dyDescent="0.2">
      <c r="A51" t="s">
        <v>484</v>
      </c>
      <c r="B51" t="s">
        <v>482</v>
      </c>
      <c r="D51" t="s">
        <v>483</v>
      </c>
    </row>
    <row r="52" spans="1:4" x14ac:dyDescent="0.2">
      <c r="A52" t="s">
        <v>485</v>
      </c>
      <c r="B52" t="s">
        <v>482</v>
      </c>
      <c r="D52" t="s">
        <v>483</v>
      </c>
    </row>
    <row r="53" spans="1:4" x14ac:dyDescent="0.2">
      <c r="A53" t="s">
        <v>486</v>
      </c>
      <c r="B53" t="s">
        <v>482</v>
      </c>
      <c r="D53" t="s">
        <v>483</v>
      </c>
    </row>
    <row r="54" spans="1:4" x14ac:dyDescent="0.2">
      <c r="A54" t="s">
        <v>487</v>
      </c>
      <c r="B54" t="s">
        <v>482</v>
      </c>
      <c r="D54" t="s">
        <v>483</v>
      </c>
    </row>
    <row r="55" spans="1:4" x14ac:dyDescent="0.2">
      <c r="A55" t="s">
        <v>488</v>
      </c>
      <c r="B55" t="s">
        <v>482</v>
      </c>
      <c r="D55" t="s">
        <v>483</v>
      </c>
    </row>
    <row r="57" spans="1:4" x14ac:dyDescent="0.2">
      <c r="A57" t="s">
        <v>489</v>
      </c>
    </row>
    <row r="58" spans="1:4" x14ac:dyDescent="0.2">
      <c r="A58" t="s">
        <v>490</v>
      </c>
      <c r="D58" t="s">
        <v>491</v>
      </c>
    </row>
    <row r="59" spans="1:4" x14ac:dyDescent="0.2">
      <c r="A59" t="s">
        <v>492</v>
      </c>
      <c r="D59" t="s">
        <v>493</v>
      </c>
    </row>
    <row r="60" spans="1:4" x14ac:dyDescent="0.2">
      <c r="A60" t="s">
        <v>494</v>
      </c>
      <c r="B60" t="s">
        <v>495</v>
      </c>
      <c r="D60" t="s">
        <v>496</v>
      </c>
    </row>
    <row r="61" spans="1:4" x14ac:dyDescent="0.2">
      <c r="A61" t="s">
        <v>497</v>
      </c>
      <c r="B61" t="s">
        <v>498</v>
      </c>
      <c r="D61" t="s">
        <v>499</v>
      </c>
    </row>
    <row r="63" spans="1:4" x14ac:dyDescent="0.2">
      <c r="A63" t="s">
        <v>500</v>
      </c>
      <c r="B63" t="s">
        <v>501</v>
      </c>
      <c r="D63" t="s">
        <v>424</v>
      </c>
    </row>
    <row r="64" spans="1:4" x14ac:dyDescent="0.2">
      <c r="A64" t="s">
        <v>502</v>
      </c>
      <c r="B64" t="s">
        <v>503</v>
      </c>
    </row>
    <row r="65" spans="1:4" x14ac:dyDescent="0.2">
      <c r="B65" t="s">
        <v>504</v>
      </c>
    </row>
    <row r="68" spans="1:4" x14ac:dyDescent="0.2">
      <c r="A68" s="13" t="s">
        <v>223</v>
      </c>
    </row>
    <row r="69" spans="1:4" x14ac:dyDescent="0.2">
      <c r="A69" s="13" t="s">
        <v>223</v>
      </c>
    </row>
    <row r="71" spans="1:4" x14ac:dyDescent="0.2">
      <c r="A71" s="24" t="s">
        <v>223</v>
      </c>
    </row>
    <row r="72" spans="1:4" x14ac:dyDescent="0.2">
      <c r="A72" s="25" t="s">
        <v>223</v>
      </c>
      <c r="C72" s="25"/>
    </row>
    <row r="73" spans="1:4" x14ac:dyDescent="0.2">
      <c r="A73" s="25"/>
    </row>
    <row r="74" spans="1:4" x14ac:dyDescent="0.2">
      <c r="A74" s="195" t="s">
        <v>223</v>
      </c>
      <c r="D74" s="196" t="s">
        <v>223</v>
      </c>
    </row>
    <row r="75" spans="1:4" x14ac:dyDescent="0.2">
      <c r="A75" s="195" t="s">
        <v>223</v>
      </c>
      <c r="C75" s="196">
        <v>0.75</v>
      </c>
    </row>
    <row r="76" spans="1:4" x14ac:dyDescent="0.2">
      <c r="A76" s="195" t="s">
        <v>223</v>
      </c>
    </row>
    <row r="77" spans="1:4" x14ac:dyDescent="0.2">
      <c r="A77" s="195" t="s">
        <v>223</v>
      </c>
    </row>
    <row r="78" spans="1:4" x14ac:dyDescent="0.2">
      <c r="A78" s="195" t="s">
        <v>223</v>
      </c>
      <c r="C78" s="196">
        <v>0.8</v>
      </c>
    </row>
    <row r="79" spans="1:4" x14ac:dyDescent="0.2">
      <c r="A79" s="195" t="s">
        <v>223</v>
      </c>
      <c r="C79" s="196">
        <v>0.85</v>
      </c>
    </row>
    <row r="80" spans="1:4" x14ac:dyDescent="0.2">
      <c r="A80" s="195" t="s">
        <v>223</v>
      </c>
      <c r="C80" s="196">
        <v>0.85</v>
      </c>
    </row>
    <row r="81" spans="1:3" x14ac:dyDescent="0.2">
      <c r="A81" s="195" t="s">
        <v>223</v>
      </c>
    </row>
    <row r="82" spans="1:3" x14ac:dyDescent="0.2">
      <c r="A82" s="195" t="s">
        <v>223</v>
      </c>
      <c r="C82" s="195"/>
    </row>
    <row r="83" spans="1:3" x14ac:dyDescent="0.2">
      <c r="A83" s="195"/>
    </row>
    <row r="84" spans="1:3" x14ac:dyDescent="0.2">
      <c r="A84" s="27" t="s">
        <v>223</v>
      </c>
    </row>
    <row r="85" spans="1:3" x14ac:dyDescent="0.2">
      <c r="A85" s="27"/>
    </row>
    <row r="86" spans="1:3" x14ac:dyDescent="0.2">
      <c r="A86" s="27"/>
    </row>
    <row r="87" spans="1:3" x14ac:dyDescent="0.2">
      <c r="A87" s="27"/>
    </row>
    <row r="88" spans="1:3" x14ac:dyDescent="0.2">
      <c r="A88" s="27"/>
    </row>
    <row r="89" spans="1:3" x14ac:dyDescent="0.2">
      <c r="A89" s="27"/>
    </row>
    <row r="90" spans="1:3" x14ac:dyDescent="0.2">
      <c r="A90" s="27"/>
    </row>
    <row r="91" spans="1:3" x14ac:dyDescent="0.2">
      <c r="A91" s="27"/>
    </row>
    <row r="92" spans="1:3" x14ac:dyDescent="0.2">
      <c r="A92" s="27"/>
    </row>
    <row r="93" spans="1:3" x14ac:dyDescent="0.2">
      <c r="A93" s="27"/>
    </row>
    <row r="94" spans="1:3" x14ac:dyDescent="0.2">
      <c r="A94" s="27"/>
    </row>
    <row r="95" spans="1:3" x14ac:dyDescent="0.2">
      <c r="A95" s="27"/>
    </row>
    <row r="96" spans="1:3" x14ac:dyDescent="0.2">
      <c r="A96" s="27"/>
    </row>
    <row r="97" spans="1:7" x14ac:dyDescent="0.2">
      <c r="A97" s="27" t="s">
        <v>223</v>
      </c>
    </row>
    <row r="98" spans="1:7" x14ac:dyDescent="0.2">
      <c r="A98" s="195" t="s">
        <v>223</v>
      </c>
    </row>
    <row r="99" spans="1:7" ht="24" customHeight="1" x14ac:dyDescent="0.2">
      <c r="A99" s="649" t="s">
        <v>223</v>
      </c>
      <c r="B99" s="649"/>
      <c r="C99" s="649"/>
      <c r="D99" s="649"/>
      <c r="E99" s="649"/>
      <c r="F99" s="649"/>
      <c r="G99" s="649"/>
    </row>
    <row r="100" spans="1:7" ht="28.5" customHeight="1" x14ac:dyDescent="0.2">
      <c r="A100" s="650" t="s">
        <v>223</v>
      </c>
      <c r="B100" s="650"/>
      <c r="C100" s="650"/>
      <c r="D100" s="650"/>
      <c r="E100" s="650"/>
      <c r="F100" s="650"/>
      <c r="G100" s="650"/>
    </row>
    <row r="101" spans="1:7" x14ac:dyDescent="0.2">
      <c r="A101" s="30" t="s">
        <v>223</v>
      </c>
      <c r="B101" s="215" t="s">
        <v>223</v>
      </c>
      <c r="C101" s="215" t="s">
        <v>223</v>
      </c>
      <c r="D101" s="215" t="s">
        <v>223</v>
      </c>
      <c r="E101" s="31" t="s">
        <v>223</v>
      </c>
      <c r="F101" s="215" t="s">
        <v>223</v>
      </c>
      <c r="G101" s="215" t="s">
        <v>223</v>
      </c>
    </row>
    <row r="102" spans="1:7" x14ac:dyDescent="0.2">
      <c r="A102" s="30" t="s">
        <v>223</v>
      </c>
      <c r="B102" s="215" t="s">
        <v>223</v>
      </c>
      <c r="C102" s="215" t="s">
        <v>223</v>
      </c>
      <c r="D102" s="215" t="s">
        <v>223</v>
      </c>
      <c r="E102" s="31">
        <v>0.8</v>
      </c>
      <c r="F102" s="215"/>
      <c r="G102" s="215"/>
    </row>
    <row r="103" spans="1:7" x14ac:dyDescent="0.2">
      <c r="A103" s="30" t="s">
        <v>223</v>
      </c>
      <c r="B103" s="31" t="s">
        <v>223</v>
      </c>
      <c r="C103" s="31">
        <v>0.8</v>
      </c>
      <c r="D103" s="31" t="s">
        <v>223</v>
      </c>
      <c r="E103" s="31">
        <v>0.8</v>
      </c>
      <c r="F103" s="215"/>
      <c r="G103" s="215"/>
    </row>
    <row r="104" spans="1:7" ht="28.5" customHeight="1" x14ac:dyDescent="0.2">
      <c r="A104" s="650" t="s">
        <v>223</v>
      </c>
      <c r="B104" s="650"/>
      <c r="C104" s="650"/>
      <c r="D104" s="650"/>
      <c r="E104" s="650"/>
      <c r="F104" s="650"/>
      <c r="G104" s="650"/>
    </row>
    <row r="105" spans="1:7" x14ac:dyDescent="0.2">
      <c r="A105" s="32" t="s">
        <v>223</v>
      </c>
      <c r="B105" s="215" t="s">
        <v>223</v>
      </c>
      <c r="C105" s="215" t="s">
        <v>223</v>
      </c>
      <c r="D105" s="215" t="s">
        <v>223</v>
      </c>
      <c r="E105" s="31" t="s">
        <v>223</v>
      </c>
      <c r="F105" s="31" t="s">
        <v>223</v>
      </c>
      <c r="G105" s="31">
        <v>1</v>
      </c>
    </row>
    <row r="106" spans="1:7" x14ac:dyDescent="0.2">
      <c r="A106" s="32" t="s">
        <v>223</v>
      </c>
      <c r="B106" s="215" t="s">
        <v>223</v>
      </c>
      <c r="C106" s="215" t="s">
        <v>223</v>
      </c>
      <c r="D106" s="215" t="s">
        <v>223</v>
      </c>
      <c r="E106" s="31" t="s">
        <v>223</v>
      </c>
      <c r="F106" s="31" t="s">
        <v>223</v>
      </c>
      <c r="G106" s="31" t="s">
        <v>223</v>
      </c>
    </row>
    <row r="107" spans="1:7" x14ac:dyDescent="0.2">
      <c r="A107" s="32" t="s">
        <v>223</v>
      </c>
      <c r="B107" s="31" t="s">
        <v>223</v>
      </c>
      <c r="C107" s="31" t="s">
        <v>223</v>
      </c>
      <c r="D107" s="31" t="s">
        <v>223</v>
      </c>
      <c r="E107" s="31" t="s">
        <v>223</v>
      </c>
      <c r="F107" s="31" t="s">
        <v>223</v>
      </c>
      <c r="G107" s="31">
        <v>0.8</v>
      </c>
    </row>
    <row r="108" spans="1:7" ht="28.5" customHeight="1" x14ac:dyDescent="0.2">
      <c r="A108" s="650"/>
      <c r="B108" s="650"/>
      <c r="C108" s="650"/>
      <c r="D108" s="650"/>
      <c r="E108" s="650"/>
      <c r="F108" s="650"/>
      <c r="G108" s="650"/>
    </row>
    <row r="109" spans="1:7" x14ac:dyDescent="0.2">
      <c r="A109" s="32" t="s">
        <v>223</v>
      </c>
      <c r="B109" s="215" t="s">
        <v>223</v>
      </c>
      <c r="C109" s="31" t="s">
        <v>223</v>
      </c>
      <c r="D109" s="215" t="s">
        <v>223</v>
      </c>
      <c r="E109" s="31" t="s">
        <v>223</v>
      </c>
      <c r="F109" s="31" t="s">
        <v>223</v>
      </c>
      <c r="G109" s="31">
        <v>1</v>
      </c>
    </row>
    <row r="110" spans="1:7" x14ac:dyDescent="0.2">
      <c r="A110" s="32" t="s">
        <v>223</v>
      </c>
      <c r="B110" s="215" t="s">
        <v>223</v>
      </c>
      <c r="C110" s="31" t="s">
        <v>223</v>
      </c>
      <c r="D110" s="31" t="s">
        <v>223</v>
      </c>
      <c r="E110" s="31" t="s">
        <v>223</v>
      </c>
      <c r="F110" s="31" t="s">
        <v>223</v>
      </c>
      <c r="G110" s="31">
        <v>0.9</v>
      </c>
    </row>
    <row r="111" spans="1:7" x14ac:dyDescent="0.2">
      <c r="A111" s="32" t="s">
        <v>223</v>
      </c>
      <c r="B111" s="31" t="s">
        <v>223</v>
      </c>
      <c r="C111" s="31" t="s">
        <v>223</v>
      </c>
      <c r="D111" s="31" t="s">
        <v>223</v>
      </c>
      <c r="E111" s="31" t="s">
        <v>223</v>
      </c>
      <c r="F111" s="31" t="s">
        <v>223</v>
      </c>
      <c r="G111" s="31">
        <v>0.8</v>
      </c>
    </row>
    <row r="112" spans="1:7" ht="41.25" customHeight="1" x14ac:dyDescent="0.2">
      <c r="A112" s="648" t="s">
        <v>223</v>
      </c>
      <c r="B112" s="648"/>
      <c r="C112" s="648"/>
      <c r="D112" s="648"/>
      <c r="E112" s="648"/>
      <c r="F112" s="648"/>
      <c r="G112" s="648"/>
    </row>
    <row r="113" spans="1:7" ht="24.75" customHeight="1" x14ac:dyDescent="0.2">
      <c r="A113" s="648" t="s">
        <v>223</v>
      </c>
      <c r="B113" s="648"/>
      <c r="C113" s="648"/>
      <c r="D113" s="648"/>
      <c r="E113" s="648"/>
      <c r="F113" s="648"/>
      <c r="G113" s="648"/>
    </row>
    <row r="114" spans="1:7" x14ac:dyDescent="0.2">
      <c r="A114" s="648"/>
      <c r="B114" s="648"/>
      <c r="C114" s="648"/>
      <c r="D114" s="648"/>
      <c r="E114" s="648"/>
      <c r="F114" s="648"/>
      <c r="G114" s="648"/>
    </row>
  </sheetData>
  <mergeCells count="6">
    <mergeCell ref="A112:G112"/>
    <mergeCell ref="A113:G114"/>
    <mergeCell ref="A99:G99"/>
    <mergeCell ref="A100:G100"/>
    <mergeCell ref="A104:G104"/>
    <mergeCell ref="A108:G108"/>
  </mergeCells>
  <phoneticPr fontId="11" type="noConversion"/>
  <printOptions headings="1"/>
  <pageMargins left="0.75" right="0.75" top="1" bottom="1" header="0.5" footer="0.5"/>
  <pageSetup orientation="portrait" r:id="rId1"/>
  <headerFooter alignWithMargins="0">
    <oddHeader>&amp;CEXHIBIT "C"
MAXIMUM LOAN TERMS</oddHeader>
  </headerFooter>
  <rowBreaks count="1" manualBreakCount="1">
    <brk id="24" max="7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7" tint="0.39997558519241921"/>
  </sheetPr>
  <dimension ref="A1:G72"/>
  <sheetViews>
    <sheetView topLeftCell="A36" zoomScaleNormal="100" workbookViewId="0">
      <selection activeCell="C54" sqref="C54"/>
    </sheetView>
  </sheetViews>
  <sheetFormatPr defaultRowHeight="12.75" x14ac:dyDescent="0.2"/>
  <cols>
    <col min="1" max="1" width="31.42578125" customWidth="1"/>
    <col min="2" max="2" width="0.85546875" customWidth="1"/>
    <col min="3" max="3" width="17" customWidth="1"/>
    <col min="4" max="4" width="1" customWidth="1"/>
    <col min="5" max="5" width="17.7109375" customWidth="1"/>
    <col min="6" max="6" width="0.85546875" customWidth="1"/>
    <col min="7" max="7" width="17" customWidth="1"/>
    <col min="8" max="8" width="1" customWidth="1"/>
  </cols>
  <sheetData>
    <row r="1" spans="1:7" x14ac:dyDescent="0.2">
      <c r="A1" s="13" t="s">
        <v>505</v>
      </c>
      <c r="C1" s="13"/>
      <c r="E1" s="13"/>
      <c r="G1" s="13"/>
    </row>
    <row r="2" spans="1:7" x14ac:dyDescent="0.2">
      <c r="C2" t="s">
        <v>223</v>
      </c>
      <c r="E2" t="s">
        <v>223</v>
      </c>
      <c r="G2" t="s">
        <v>223</v>
      </c>
    </row>
    <row r="3" spans="1:7" x14ac:dyDescent="0.2">
      <c r="A3" s="13" t="s">
        <v>506</v>
      </c>
    </row>
    <row r="5" spans="1:7" x14ac:dyDescent="0.2">
      <c r="A5" t="s">
        <v>507</v>
      </c>
      <c r="C5" s="26">
        <v>1</v>
      </c>
      <c r="E5" s="26"/>
      <c r="G5" s="26"/>
    </row>
    <row r="6" spans="1:7" x14ac:dyDescent="0.2">
      <c r="A6" t="s">
        <v>508</v>
      </c>
      <c r="C6" s="26">
        <v>1</v>
      </c>
      <c r="E6" s="26"/>
      <c r="G6" s="26"/>
    </row>
    <row r="7" spans="1:7" x14ac:dyDescent="0.2">
      <c r="A7" t="s">
        <v>432</v>
      </c>
      <c r="C7" s="26">
        <v>1</v>
      </c>
      <c r="E7" s="26"/>
      <c r="G7" s="26"/>
    </row>
    <row r="8" spans="1:7" x14ac:dyDescent="0.2">
      <c r="A8" t="s">
        <v>431</v>
      </c>
      <c r="C8" s="26">
        <v>1</v>
      </c>
      <c r="E8" s="26"/>
      <c r="G8" s="26"/>
    </row>
    <row r="9" spans="1:7" x14ac:dyDescent="0.2">
      <c r="A9" t="s">
        <v>434</v>
      </c>
      <c r="C9" s="26">
        <v>1</v>
      </c>
      <c r="E9" s="26"/>
      <c r="G9" s="26"/>
    </row>
    <row r="10" spans="1:7" x14ac:dyDescent="0.2">
      <c r="A10" t="s">
        <v>509</v>
      </c>
      <c r="C10" s="26">
        <v>1</v>
      </c>
      <c r="E10" s="26"/>
      <c r="G10" s="26"/>
    </row>
    <row r="11" spans="1:7" x14ac:dyDescent="0.2">
      <c r="A11" t="s">
        <v>510</v>
      </c>
      <c r="C11" s="26">
        <v>1</v>
      </c>
      <c r="E11" s="26"/>
      <c r="G11" s="26"/>
    </row>
    <row r="13" spans="1:7" x14ac:dyDescent="0.2">
      <c r="A13" t="s">
        <v>511</v>
      </c>
      <c r="C13" t="s">
        <v>223</v>
      </c>
    </row>
    <row r="14" spans="1:7" x14ac:dyDescent="0.2">
      <c r="A14" t="s">
        <v>512</v>
      </c>
      <c r="C14" s="26">
        <v>1.1499999999999999</v>
      </c>
      <c r="E14" s="26"/>
      <c r="G14" s="26"/>
    </row>
    <row r="15" spans="1:7" x14ac:dyDescent="0.2">
      <c r="A15" t="s">
        <v>453</v>
      </c>
      <c r="C15" s="26">
        <v>1</v>
      </c>
    </row>
    <row r="16" spans="1:7" x14ac:dyDescent="0.2">
      <c r="C16" s="26"/>
      <c r="E16" s="26"/>
      <c r="G16" s="26"/>
    </row>
    <row r="17" spans="1:7" x14ac:dyDescent="0.2">
      <c r="A17" s="13" t="s">
        <v>513</v>
      </c>
      <c r="C17" s="26" t="s">
        <v>223</v>
      </c>
    </row>
    <row r="18" spans="1:7" x14ac:dyDescent="0.2">
      <c r="A18" t="s">
        <v>223</v>
      </c>
      <c r="C18" s="26" t="s">
        <v>223</v>
      </c>
    </row>
    <row r="19" spans="1:7" x14ac:dyDescent="0.2">
      <c r="A19" s="13" t="s">
        <v>514</v>
      </c>
      <c r="C19" s="29"/>
      <c r="E19" s="13"/>
      <c r="G19" s="13"/>
    </row>
    <row r="20" spans="1:7" x14ac:dyDescent="0.2">
      <c r="A20" s="154" t="s">
        <v>515</v>
      </c>
      <c r="C20" s="26"/>
    </row>
    <row r="21" spans="1:7" x14ac:dyDescent="0.2">
      <c r="A21" t="s">
        <v>223</v>
      </c>
      <c r="C21" s="26" t="s">
        <v>223</v>
      </c>
    </row>
    <row r="22" spans="1:7" x14ac:dyDescent="0.2">
      <c r="A22" t="s">
        <v>452</v>
      </c>
      <c r="C22" s="26" t="s">
        <v>223</v>
      </c>
    </row>
    <row r="23" spans="1:7" x14ac:dyDescent="0.2">
      <c r="A23" t="s">
        <v>453</v>
      </c>
      <c r="C23" s="26">
        <v>1</v>
      </c>
      <c r="E23" s="26"/>
      <c r="G23" s="26"/>
    </row>
    <row r="24" spans="1:7" x14ac:dyDescent="0.2">
      <c r="A24" t="s">
        <v>516</v>
      </c>
      <c r="C24" s="26">
        <v>1</v>
      </c>
      <c r="E24" s="26"/>
      <c r="G24" s="26"/>
    </row>
    <row r="25" spans="1:7" x14ac:dyDescent="0.2">
      <c r="A25" s="13" t="s">
        <v>513</v>
      </c>
      <c r="C25" s="26"/>
      <c r="E25" s="26"/>
      <c r="G25" s="26"/>
    </row>
    <row r="27" spans="1:7" x14ac:dyDescent="0.2">
      <c r="A27" t="s">
        <v>517</v>
      </c>
      <c r="C27" s="26">
        <v>1</v>
      </c>
      <c r="E27" s="26"/>
      <c r="G27" s="26"/>
    </row>
    <row r="29" spans="1:7" x14ac:dyDescent="0.2">
      <c r="A29" t="s">
        <v>464</v>
      </c>
      <c r="C29" s="26" t="s">
        <v>223</v>
      </c>
      <c r="E29" s="26" t="s">
        <v>223</v>
      </c>
      <c r="G29" s="26" t="s">
        <v>223</v>
      </c>
    </row>
    <row r="30" spans="1:7" x14ac:dyDescent="0.2">
      <c r="A30" t="s">
        <v>453</v>
      </c>
      <c r="C30" s="26">
        <v>1</v>
      </c>
      <c r="E30" s="26"/>
      <c r="G30" s="26"/>
    </row>
    <row r="31" spans="1:7" x14ac:dyDescent="0.2">
      <c r="A31" t="s">
        <v>454</v>
      </c>
      <c r="C31" s="26">
        <v>1</v>
      </c>
      <c r="E31" s="26"/>
      <c r="G31" s="26"/>
    </row>
    <row r="33" spans="1:7" x14ac:dyDescent="0.2">
      <c r="A33" t="s">
        <v>518</v>
      </c>
      <c r="C33" t="s">
        <v>519</v>
      </c>
    </row>
    <row r="34" spans="1:7" x14ac:dyDescent="0.2">
      <c r="C34" t="s">
        <v>520</v>
      </c>
    </row>
    <row r="37" spans="1:7" x14ac:dyDescent="0.2">
      <c r="A37" t="s">
        <v>521</v>
      </c>
      <c r="C37" s="26">
        <v>1</v>
      </c>
      <c r="E37" s="26"/>
      <c r="G37" s="26"/>
    </row>
    <row r="39" spans="1:7" x14ac:dyDescent="0.2">
      <c r="A39" t="s">
        <v>522</v>
      </c>
      <c r="C39" s="26">
        <v>0.75</v>
      </c>
      <c r="E39" s="26"/>
      <c r="G39" s="26"/>
    </row>
    <row r="41" spans="1:7" x14ac:dyDescent="0.2">
      <c r="A41" t="s">
        <v>489</v>
      </c>
    </row>
    <row r="42" spans="1:7" x14ac:dyDescent="0.2">
      <c r="A42" t="s">
        <v>523</v>
      </c>
      <c r="C42" s="26">
        <v>0.8</v>
      </c>
      <c r="E42" s="26"/>
      <c r="G42" s="26"/>
    </row>
    <row r="43" spans="1:7" x14ac:dyDescent="0.2">
      <c r="A43" t="s">
        <v>524</v>
      </c>
      <c r="C43" s="26">
        <v>0.9</v>
      </c>
      <c r="E43" s="26"/>
      <c r="G43" s="26"/>
    </row>
    <row r="44" spans="1:7" x14ac:dyDescent="0.2">
      <c r="A44" t="s">
        <v>525</v>
      </c>
      <c r="C44" s="26">
        <v>0.8</v>
      </c>
      <c r="E44" s="26"/>
      <c r="G44" s="26"/>
    </row>
    <row r="45" spans="1:7" x14ac:dyDescent="0.2">
      <c r="A45" t="s">
        <v>526</v>
      </c>
      <c r="C45" s="26">
        <v>0.75</v>
      </c>
      <c r="E45" s="26"/>
      <c r="G45" s="26"/>
    </row>
    <row r="46" spans="1:7" x14ac:dyDescent="0.2">
      <c r="C46" s="26"/>
      <c r="E46" s="26"/>
      <c r="G46" s="26"/>
    </row>
    <row r="47" spans="1:7" x14ac:dyDescent="0.2">
      <c r="A47" s="13" t="s">
        <v>527</v>
      </c>
    </row>
    <row r="49" spans="1:7" x14ac:dyDescent="0.2">
      <c r="A49" t="s">
        <v>528</v>
      </c>
      <c r="C49" t="s">
        <v>223</v>
      </c>
    </row>
    <row r="51" spans="1:7" x14ac:dyDescent="0.2">
      <c r="A51" t="s">
        <v>529</v>
      </c>
    </row>
    <row r="52" spans="1:7" x14ac:dyDescent="0.2">
      <c r="A52" t="s">
        <v>530</v>
      </c>
      <c r="C52" s="26">
        <v>0.8</v>
      </c>
      <c r="E52" s="26"/>
      <c r="G52" s="26"/>
    </row>
    <row r="53" spans="1:7" x14ac:dyDescent="0.2">
      <c r="A53" t="s">
        <v>531</v>
      </c>
      <c r="C53" s="26">
        <v>0.9</v>
      </c>
      <c r="E53" s="26"/>
      <c r="G53" s="26"/>
    </row>
    <row r="54" spans="1:7" x14ac:dyDescent="0.2">
      <c r="A54" t="s">
        <v>532</v>
      </c>
      <c r="C54" s="26">
        <v>0.75</v>
      </c>
      <c r="E54" s="26"/>
      <c r="G54" s="26"/>
    </row>
    <row r="55" spans="1:7" x14ac:dyDescent="0.2">
      <c r="A55" t="s">
        <v>533</v>
      </c>
      <c r="C55" s="26">
        <v>0.75</v>
      </c>
      <c r="E55" s="26"/>
      <c r="G55" s="26"/>
    </row>
    <row r="56" spans="1:7" x14ac:dyDescent="0.2">
      <c r="A56" t="s">
        <v>534</v>
      </c>
      <c r="C56" s="26">
        <v>0.8</v>
      </c>
      <c r="E56" s="26"/>
      <c r="G56" s="26"/>
    </row>
    <row r="57" spans="1:7" x14ac:dyDescent="0.2">
      <c r="A57" t="s">
        <v>535</v>
      </c>
      <c r="C57" s="26">
        <v>1</v>
      </c>
      <c r="E57" s="26"/>
      <c r="G57" s="26"/>
    </row>
    <row r="58" spans="1:7" x14ac:dyDescent="0.2">
      <c r="A58" t="s">
        <v>536</v>
      </c>
      <c r="C58" s="26">
        <v>0.9</v>
      </c>
      <c r="E58" s="26"/>
      <c r="G58" s="26"/>
    </row>
    <row r="60" spans="1:7" x14ac:dyDescent="0.2">
      <c r="A60" s="13" t="s">
        <v>537</v>
      </c>
    </row>
    <row r="62" spans="1:7" x14ac:dyDescent="0.2">
      <c r="A62" t="s">
        <v>538</v>
      </c>
      <c r="C62" s="26">
        <v>0.65</v>
      </c>
    </row>
    <row r="63" spans="1:7" x14ac:dyDescent="0.2">
      <c r="A63" t="s">
        <v>539</v>
      </c>
      <c r="C63" s="26">
        <v>0.75</v>
      </c>
    </row>
    <row r="64" spans="1:7" x14ac:dyDescent="0.2">
      <c r="A64" t="s">
        <v>540</v>
      </c>
    </row>
    <row r="65" spans="1:3" x14ac:dyDescent="0.2">
      <c r="A65" t="s">
        <v>541</v>
      </c>
    </row>
    <row r="66" spans="1:3" x14ac:dyDescent="0.2">
      <c r="A66" t="s">
        <v>542</v>
      </c>
      <c r="C66" s="26">
        <v>0.8</v>
      </c>
    </row>
    <row r="67" spans="1:3" x14ac:dyDescent="0.2">
      <c r="A67" t="s">
        <v>543</v>
      </c>
      <c r="C67" s="26">
        <v>0.85</v>
      </c>
    </row>
    <row r="68" spans="1:3" x14ac:dyDescent="0.2">
      <c r="A68" t="s">
        <v>544</v>
      </c>
      <c r="C68" s="26">
        <v>0.85</v>
      </c>
    </row>
    <row r="69" spans="1:3" x14ac:dyDescent="0.2">
      <c r="A69" t="s">
        <v>545</v>
      </c>
    </row>
    <row r="70" spans="1:3" x14ac:dyDescent="0.2">
      <c r="A70" t="s">
        <v>546</v>
      </c>
      <c r="C70" t="s">
        <v>547</v>
      </c>
    </row>
    <row r="71" spans="1:3" x14ac:dyDescent="0.2">
      <c r="A71" t="s">
        <v>548</v>
      </c>
    </row>
    <row r="72" spans="1:3" x14ac:dyDescent="0.2">
      <c r="A72" t="s">
        <v>549</v>
      </c>
    </row>
  </sheetData>
  <sheetProtection password="CC7A" sheet="1" objects="1" scenarios="1"/>
  <phoneticPr fontId="11" type="noConversion"/>
  <pageMargins left="0.75" right="0.75" top="1" bottom="1" header="0.5" footer="0.5"/>
  <pageSetup orientation="portrait" r:id="rId1"/>
  <headerFooter alignWithMargins="0">
    <oddHeader>&amp;CEXHIBIT "D"
MAXIMUM LOAN TO VALUE LIMITS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theme="8" tint="0.79998168889431442"/>
  </sheetPr>
  <dimension ref="A1:E103"/>
  <sheetViews>
    <sheetView workbookViewId="0">
      <selection activeCell="C51" sqref="C51"/>
    </sheetView>
  </sheetViews>
  <sheetFormatPr defaultRowHeight="11.25" customHeight="1" x14ac:dyDescent="0.2"/>
  <cols>
    <col min="1" max="1" width="47.5703125" customWidth="1"/>
    <col min="2" max="2" width="2" customWidth="1"/>
    <col min="3" max="3" width="35.7109375" customWidth="1"/>
  </cols>
  <sheetData>
    <row r="1" spans="1:5" ht="11.25" customHeight="1" x14ac:dyDescent="0.2">
      <c r="A1" s="37" t="s">
        <v>550</v>
      </c>
      <c r="B1" s="60"/>
      <c r="C1" s="37" t="s">
        <v>551</v>
      </c>
      <c r="D1" s="651" t="s">
        <v>552</v>
      </c>
      <c r="E1" s="651"/>
    </row>
    <row r="2" spans="1:5" ht="11.25" customHeight="1" x14ac:dyDescent="0.2">
      <c r="A2" s="37"/>
      <c r="B2" s="60"/>
      <c r="C2" s="60"/>
    </row>
    <row r="3" spans="1:5" ht="11.25" customHeight="1" x14ac:dyDescent="0.2">
      <c r="A3" s="37" t="s">
        <v>553</v>
      </c>
      <c r="B3" s="60"/>
      <c r="C3" s="60" t="s">
        <v>554</v>
      </c>
    </row>
    <row r="4" spans="1:5" ht="11.25" customHeight="1" x14ac:dyDescent="0.2">
      <c r="A4" s="37"/>
      <c r="B4" s="60"/>
      <c r="C4" s="60" t="s">
        <v>555</v>
      </c>
    </row>
    <row r="5" spans="1:5" ht="11.25" customHeight="1" x14ac:dyDescent="0.2">
      <c r="A5" s="37"/>
      <c r="B5" s="60"/>
      <c r="C5" s="60" t="s">
        <v>556</v>
      </c>
    </row>
    <row r="6" spans="1:5" ht="11.25" customHeight="1" x14ac:dyDescent="0.2">
      <c r="A6" s="37"/>
      <c r="B6" s="60"/>
      <c r="C6" s="60" t="s">
        <v>557</v>
      </c>
    </row>
    <row r="7" spans="1:5" ht="11.25" customHeight="1" x14ac:dyDescent="0.2">
      <c r="A7" s="37"/>
      <c r="B7" s="60"/>
      <c r="C7" s="60" t="s">
        <v>558</v>
      </c>
    </row>
    <row r="8" spans="1:5" ht="11.25" customHeight="1" x14ac:dyDescent="0.2">
      <c r="A8" s="37"/>
      <c r="B8" s="60"/>
      <c r="C8" s="60" t="s">
        <v>223</v>
      </c>
    </row>
    <row r="9" spans="1:5" ht="11.25" customHeight="1" x14ac:dyDescent="0.2">
      <c r="B9" s="60"/>
      <c r="C9" s="60"/>
    </row>
    <row r="10" spans="1:5" ht="11.25" customHeight="1" x14ac:dyDescent="0.2">
      <c r="A10" s="37" t="s">
        <v>559</v>
      </c>
      <c r="B10" s="60"/>
      <c r="C10" s="60" t="s">
        <v>557</v>
      </c>
    </row>
    <row r="11" spans="1:5" ht="11.25" customHeight="1" x14ac:dyDescent="0.2">
      <c r="A11" s="37"/>
      <c r="B11" s="60"/>
      <c r="C11" s="60" t="s">
        <v>560</v>
      </c>
    </row>
    <row r="12" spans="1:5" ht="11.25" customHeight="1" x14ac:dyDescent="0.2">
      <c r="A12" s="37"/>
      <c r="B12" s="60"/>
      <c r="C12" s="60" t="s">
        <v>561</v>
      </c>
    </row>
    <row r="13" spans="1:5" ht="11.25" customHeight="1" x14ac:dyDescent="0.2">
      <c r="A13" s="37"/>
      <c r="B13" s="60"/>
      <c r="C13" s="60"/>
    </row>
    <row r="14" spans="1:5" ht="11.25" customHeight="1" x14ac:dyDescent="0.2">
      <c r="A14" s="37" t="s">
        <v>376</v>
      </c>
      <c r="B14" s="60"/>
      <c r="C14" s="60" t="s">
        <v>557</v>
      </c>
    </row>
    <row r="15" spans="1:5" ht="11.25" customHeight="1" x14ac:dyDescent="0.2">
      <c r="A15" s="37"/>
      <c r="B15" s="60"/>
      <c r="C15" s="60" t="s">
        <v>560</v>
      </c>
    </row>
    <row r="16" spans="1:5" ht="11.25" customHeight="1" x14ac:dyDescent="0.2">
      <c r="A16" s="37"/>
      <c r="B16" s="60"/>
      <c r="C16" s="60" t="s">
        <v>561</v>
      </c>
    </row>
    <row r="17" spans="1:3" ht="11.25" customHeight="1" x14ac:dyDescent="0.2">
      <c r="A17" s="37"/>
      <c r="B17" s="60"/>
      <c r="C17" s="60" t="s">
        <v>562</v>
      </c>
    </row>
    <row r="18" spans="1:3" ht="11.25" customHeight="1" x14ac:dyDescent="0.2">
      <c r="A18" s="37"/>
      <c r="B18" s="60"/>
      <c r="C18" s="60" t="s">
        <v>563</v>
      </c>
    </row>
    <row r="19" spans="1:3" ht="11.25" customHeight="1" x14ac:dyDescent="0.2">
      <c r="A19" s="37"/>
      <c r="B19" s="60"/>
      <c r="C19" s="60"/>
    </row>
    <row r="20" spans="1:3" ht="11.25" customHeight="1" x14ac:dyDescent="0.2">
      <c r="A20" s="37" t="s">
        <v>564</v>
      </c>
      <c r="B20" s="60"/>
      <c r="C20" s="60" t="s">
        <v>565</v>
      </c>
    </row>
    <row r="21" spans="1:3" ht="11.25" customHeight="1" x14ac:dyDescent="0.2">
      <c r="A21" s="37"/>
      <c r="B21" s="60"/>
      <c r="C21" s="60"/>
    </row>
    <row r="22" spans="1:3" ht="11.25" customHeight="1" x14ac:dyDescent="0.2">
      <c r="A22" s="37" t="s">
        <v>566</v>
      </c>
      <c r="B22" s="60"/>
      <c r="C22" s="60" t="s">
        <v>561</v>
      </c>
    </row>
    <row r="23" spans="1:3" ht="11.25" customHeight="1" x14ac:dyDescent="0.2">
      <c r="A23" s="37"/>
      <c r="B23" s="60"/>
      <c r="C23" s="60"/>
    </row>
    <row r="24" spans="1:3" ht="11.25" customHeight="1" x14ac:dyDescent="0.2">
      <c r="A24" s="37" t="s">
        <v>567</v>
      </c>
      <c r="B24" s="60"/>
      <c r="C24" s="60"/>
    </row>
    <row r="25" spans="1:3" ht="11.25" customHeight="1" x14ac:dyDescent="0.2">
      <c r="A25" s="37" t="s">
        <v>568</v>
      </c>
      <c r="B25" s="60"/>
      <c r="C25" s="60"/>
    </row>
    <row r="26" spans="1:3" ht="11.25" customHeight="1" x14ac:dyDescent="0.2">
      <c r="A26" s="37" t="s">
        <v>569</v>
      </c>
      <c r="B26" s="60"/>
      <c r="C26" s="204" t="s">
        <v>570</v>
      </c>
    </row>
    <row r="27" spans="1:3" ht="11.25" customHeight="1" x14ac:dyDescent="0.2">
      <c r="A27" s="37" t="s">
        <v>571</v>
      </c>
      <c r="B27" s="60"/>
      <c r="C27" s="60"/>
    </row>
    <row r="28" spans="1:3" ht="11.25" customHeight="1" x14ac:dyDescent="0.2">
      <c r="A28" s="37"/>
      <c r="B28" s="60"/>
      <c r="C28" s="60"/>
    </row>
    <row r="29" spans="1:3" ht="11.25" customHeight="1" x14ac:dyDescent="0.2">
      <c r="A29" s="37" t="s">
        <v>572</v>
      </c>
      <c r="B29" s="60"/>
      <c r="C29" s="60"/>
    </row>
    <row r="30" spans="1:3" ht="11.25" customHeight="1" x14ac:dyDescent="0.2">
      <c r="A30" s="37"/>
      <c r="B30" s="60"/>
      <c r="C30" s="60"/>
    </row>
    <row r="31" spans="1:3" ht="11.25" customHeight="1" x14ac:dyDescent="0.2">
      <c r="A31" s="37" t="s">
        <v>569</v>
      </c>
      <c r="B31" s="60"/>
      <c r="C31" s="60" t="s">
        <v>565</v>
      </c>
    </row>
    <row r="32" spans="1:3" ht="11.25" customHeight="1" x14ac:dyDescent="0.2">
      <c r="A32" s="37" t="s">
        <v>573</v>
      </c>
      <c r="B32" s="60"/>
      <c r="C32" s="60" t="s">
        <v>565</v>
      </c>
    </row>
    <row r="33" spans="1:3" ht="11.25" customHeight="1" x14ac:dyDescent="0.2">
      <c r="A33" s="37"/>
      <c r="B33" s="60"/>
      <c r="C33" s="60"/>
    </row>
    <row r="34" spans="1:3" ht="11.25" customHeight="1" x14ac:dyDescent="0.2">
      <c r="A34" s="37"/>
      <c r="B34" s="60"/>
      <c r="C34" s="204" t="s">
        <v>574</v>
      </c>
    </row>
    <row r="35" spans="1:3" ht="11.25" customHeight="1" x14ac:dyDescent="0.2">
      <c r="A35" s="37" t="s">
        <v>575</v>
      </c>
      <c r="B35" s="60"/>
      <c r="C35" s="60"/>
    </row>
    <row r="36" spans="1:3" ht="11.25" customHeight="1" x14ac:dyDescent="0.2">
      <c r="A36" s="37" t="s">
        <v>569</v>
      </c>
      <c r="B36" s="60"/>
      <c r="C36" s="60" t="s">
        <v>563</v>
      </c>
    </row>
    <row r="37" spans="1:3" ht="11.25" customHeight="1" x14ac:dyDescent="0.2">
      <c r="A37" s="37" t="s">
        <v>573</v>
      </c>
      <c r="B37" s="60"/>
      <c r="C37" s="60" t="s">
        <v>563</v>
      </c>
    </row>
    <row r="38" spans="1:3" ht="11.25" customHeight="1" x14ac:dyDescent="0.2">
      <c r="A38" s="37"/>
      <c r="B38" s="60"/>
      <c r="C38" s="60"/>
    </row>
    <row r="39" spans="1:3" ht="11.25" customHeight="1" x14ac:dyDescent="0.2">
      <c r="A39" s="205" t="s">
        <v>576</v>
      </c>
      <c r="B39" s="60"/>
      <c r="C39" s="204" t="s">
        <v>577</v>
      </c>
    </row>
    <row r="40" spans="1:3" ht="11.25" customHeight="1" x14ac:dyDescent="0.2">
      <c r="A40" s="37"/>
      <c r="B40" s="60"/>
      <c r="C40" s="60"/>
    </row>
    <row r="41" spans="1:3" ht="11.25" customHeight="1" x14ac:dyDescent="0.2">
      <c r="A41" s="37" t="s">
        <v>578</v>
      </c>
      <c r="B41" s="60"/>
      <c r="C41" s="204" t="s">
        <v>579</v>
      </c>
    </row>
    <row r="42" spans="1:3" ht="11.25" customHeight="1" x14ac:dyDescent="0.2">
      <c r="A42" s="37"/>
      <c r="B42" s="60"/>
      <c r="C42" s="60"/>
    </row>
    <row r="43" spans="1:3" ht="11.25" customHeight="1" x14ac:dyDescent="0.2">
      <c r="A43" s="37" t="s">
        <v>580</v>
      </c>
      <c r="B43" s="60"/>
      <c r="C43" s="60" t="s">
        <v>581</v>
      </c>
    </row>
    <row r="44" spans="1:3" ht="11.25" customHeight="1" x14ac:dyDescent="0.2">
      <c r="A44" s="37"/>
      <c r="B44" s="60"/>
      <c r="C44" s="60"/>
    </row>
    <row r="45" spans="1:3" ht="11.25" customHeight="1" x14ac:dyDescent="0.2">
      <c r="A45" s="37" t="s">
        <v>582</v>
      </c>
      <c r="B45" s="60"/>
      <c r="C45" s="204" t="s">
        <v>583</v>
      </c>
    </row>
    <row r="46" spans="1:3" ht="11.25" customHeight="1" x14ac:dyDescent="0.2">
      <c r="A46" s="37"/>
      <c r="B46" s="60"/>
      <c r="C46" s="60"/>
    </row>
    <row r="47" spans="1:3" ht="11.25" customHeight="1" x14ac:dyDescent="0.2">
      <c r="A47" s="37" t="s">
        <v>584</v>
      </c>
      <c r="B47" s="60"/>
      <c r="C47" s="60"/>
    </row>
    <row r="48" spans="1:3" ht="11.25" customHeight="1" x14ac:dyDescent="0.2">
      <c r="A48" s="37"/>
      <c r="B48" s="60"/>
      <c r="C48" s="60"/>
    </row>
    <row r="49" spans="1:3" ht="11.25" customHeight="1" x14ac:dyDescent="0.2">
      <c r="A49" s="37" t="s">
        <v>585</v>
      </c>
      <c r="B49" s="60"/>
      <c r="C49" s="60" t="s">
        <v>561</v>
      </c>
    </row>
    <row r="50" spans="1:3" ht="11.25" customHeight="1" x14ac:dyDescent="0.2">
      <c r="A50" s="37"/>
      <c r="B50" s="60"/>
      <c r="C50" s="60" t="s">
        <v>562</v>
      </c>
    </row>
    <row r="51" spans="1:3" ht="11.25" customHeight="1" x14ac:dyDescent="0.2">
      <c r="A51" s="37"/>
      <c r="B51" s="60"/>
      <c r="C51" s="60" t="s">
        <v>586</v>
      </c>
    </row>
    <row r="52" spans="1:3" ht="11.25" customHeight="1" x14ac:dyDescent="0.2">
      <c r="A52" s="37"/>
      <c r="B52" s="60"/>
      <c r="C52" s="60" t="s">
        <v>587</v>
      </c>
    </row>
    <row r="53" spans="1:3" ht="11.25" customHeight="1" x14ac:dyDescent="0.2">
      <c r="A53" s="37"/>
      <c r="B53" s="60"/>
      <c r="C53" s="60"/>
    </row>
    <row r="54" spans="1:3" ht="11.25" customHeight="1" x14ac:dyDescent="0.2">
      <c r="A54" s="37" t="s">
        <v>588</v>
      </c>
      <c r="B54" s="60"/>
      <c r="C54" s="60"/>
    </row>
    <row r="55" spans="1:3" ht="11.25" customHeight="1" x14ac:dyDescent="0.2">
      <c r="A55" s="37" t="s">
        <v>589</v>
      </c>
      <c r="B55" s="60"/>
      <c r="C55" s="60" t="s">
        <v>590</v>
      </c>
    </row>
    <row r="56" spans="1:3" ht="11.25" customHeight="1" x14ac:dyDescent="0.2">
      <c r="A56" s="37" t="s">
        <v>591</v>
      </c>
      <c r="B56" s="60"/>
      <c r="C56" s="60" t="s">
        <v>592</v>
      </c>
    </row>
    <row r="57" spans="1:3" ht="11.25" customHeight="1" x14ac:dyDescent="0.2">
      <c r="A57" s="37" t="s">
        <v>593</v>
      </c>
      <c r="B57" s="60"/>
      <c r="C57" s="60" t="s">
        <v>594</v>
      </c>
    </row>
    <row r="58" spans="1:3" ht="11.25" customHeight="1" x14ac:dyDescent="0.2">
      <c r="A58" s="37"/>
      <c r="B58" s="60"/>
      <c r="C58" s="60" t="s">
        <v>595</v>
      </c>
    </row>
    <row r="59" spans="1:3" ht="11.25" customHeight="1" x14ac:dyDescent="0.2">
      <c r="A59" s="37"/>
      <c r="B59" s="60"/>
      <c r="C59" s="204" t="s">
        <v>596</v>
      </c>
    </row>
    <row r="60" spans="1:3" ht="11.25" customHeight="1" x14ac:dyDescent="0.2">
      <c r="A60" s="37" t="s">
        <v>597</v>
      </c>
      <c r="B60" s="60"/>
      <c r="C60" s="60" t="s">
        <v>223</v>
      </c>
    </row>
    <row r="61" spans="1:3" ht="11.25" customHeight="1" x14ac:dyDescent="0.2">
      <c r="A61" s="37" t="s">
        <v>598</v>
      </c>
      <c r="B61" s="60"/>
      <c r="C61" s="60" t="s">
        <v>599</v>
      </c>
    </row>
    <row r="62" spans="1:3" ht="11.25" customHeight="1" x14ac:dyDescent="0.2">
      <c r="A62" s="37"/>
      <c r="B62" s="60"/>
      <c r="C62" s="60" t="s">
        <v>600</v>
      </c>
    </row>
    <row r="63" spans="1:3" ht="11.25" customHeight="1" x14ac:dyDescent="0.2">
      <c r="A63" s="37"/>
      <c r="B63" s="60"/>
      <c r="C63" s="60"/>
    </row>
    <row r="64" spans="1:3" ht="11.25" customHeight="1" x14ac:dyDescent="0.2">
      <c r="A64" s="37" t="s">
        <v>601</v>
      </c>
      <c r="B64" s="60"/>
      <c r="C64" s="60"/>
    </row>
    <row r="65" spans="1:3" ht="11.25" customHeight="1" x14ac:dyDescent="0.2">
      <c r="A65" s="37" t="s">
        <v>602</v>
      </c>
      <c r="B65" s="60"/>
      <c r="C65" s="60" t="s">
        <v>561</v>
      </c>
    </row>
    <row r="66" spans="1:3" ht="11.25" customHeight="1" x14ac:dyDescent="0.2">
      <c r="A66" s="37" t="s">
        <v>603</v>
      </c>
      <c r="B66" s="60"/>
      <c r="C66" s="60" t="s">
        <v>565</v>
      </c>
    </row>
    <row r="67" spans="1:3" ht="11.25" customHeight="1" x14ac:dyDescent="0.2">
      <c r="A67" s="37" t="s">
        <v>604</v>
      </c>
      <c r="B67" s="60"/>
      <c r="C67" s="60"/>
    </row>
    <row r="68" spans="1:3" ht="11.25" customHeight="1" x14ac:dyDescent="0.2">
      <c r="A68" s="37"/>
      <c r="B68" s="60"/>
      <c r="C68" s="60"/>
    </row>
    <row r="69" spans="1:3" ht="11.25" customHeight="1" x14ac:dyDescent="0.2">
      <c r="A69" s="37"/>
      <c r="B69" s="60"/>
      <c r="C69" s="60"/>
    </row>
    <row r="70" spans="1:3" ht="11.25" customHeight="1" x14ac:dyDescent="0.2">
      <c r="A70" s="13"/>
    </row>
    <row r="71" spans="1:3" ht="11.25" customHeight="1" x14ac:dyDescent="0.2">
      <c r="A71" s="13"/>
    </row>
    <row r="72" spans="1:3" ht="11.25" customHeight="1" x14ac:dyDescent="0.2">
      <c r="A72" s="13"/>
    </row>
    <row r="73" spans="1:3" ht="11.25" customHeight="1" x14ac:dyDescent="0.2">
      <c r="A73" s="13"/>
    </row>
    <row r="74" spans="1:3" ht="11.25" customHeight="1" x14ac:dyDescent="0.2">
      <c r="A74" s="13"/>
    </row>
    <row r="75" spans="1:3" ht="11.25" customHeight="1" x14ac:dyDescent="0.2">
      <c r="A75" s="13"/>
    </row>
    <row r="76" spans="1:3" ht="11.25" customHeight="1" x14ac:dyDescent="0.2">
      <c r="A76" s="13"/>
    </row>
    <row r="77" spans="1:3" ht="11.25" customHeight="1" x14ac:dyDescent="0.2">
      <c r="A77" s="13"/>
    </row>
    <row r="78" spans="1:3" ht="11.25" customHeight="1" x14ac:dyDescent="0.2">
      <c r="A78" s="13"/>
    </row>
    <row r="79" spans="1:3" ht="11.25" customHeight="1" x14ac:dyDescent="0.2">
      <c r="A79" s="13"/>
    </row>
    <row r="80" spans="1:3" ht="11.25" customHeight="1" x14ac:dyDescent="0.2">
      <c r="A80" s="13"/>
    </row>
    <row r="81" spans="1:1" ht="11.25" customHeight="1" x14ac:dyDescent="0.2">
      <c r="A81" s="13"/>
    </row>
    <row r="82" spans="1:1" ht="11.25" customHeight="1" x14ac:dyDescent="0.2">
      <c r="A82" s="13"/>
    </row>
    <row r="83" spans="1:1" ht="11.25" customHeight="1" x14ac:dyDescent="0.2">
      <c r="A83" s="13"/>
    </row>
    <row r="84" spans="1:1" ht="11.25" customHeight="1" x14ac:dyDescent="0.2">
      <c r="A84" s="13"/>
    </row>
    <row r="85" spans="1:1" ht="11.25" customHeight="1" x14ac:dyDescent="0.2">
      <c r="A85" s="13"/>
    </row>
    <row r="86" spans="1:1" ht="11.25" customHeight="1" x14ac:dyDescent="0.2">
      <c r="A86" s="13"/>
    </row>
    <row r="87" spans="1:1" ht="11.25" customHeight="1" x14ac:dyDescent="0.2">
      <c r="A87" s="13"/>
    </row>
    <row r="88" spans="1:1" ht="11.25" customHeight="1" x14ac:dyDescent="0.2">
      <c r="A88" s="13"/>
    </row>
    <row r="89" spans="1:1" ht="11.25" customHeight="1" x14ac:dyDescent="0.2">
      <c r="A89" s="13"/>
    </row>
    <row r="90" spans="1:1" ht="11.25" customHeight="1" x14ac:dyDescent="0.2">
      <c r="A90" s="13"/>
    </row>
    <row r="91" spans="1:1" ht="11.25" customHeight="1" x14ac:dyDescent="0.2">
      <c r="A91" s="13"/>
    </row>
    <row r="92" spans="1:1" ht="11.25" customHeight="1" x14ac:dyDescent="0.2">
      <c r="A92" s="13"/>
    </row>
    <row r="93" spans="1:1" ht="11.25" customHeight="1" x14ac:dyDescent="0.2">
      <c r="A93" s="13"/>
    </row>
    <row r="94" spans="1:1" ht="11.25" customHeight="1" x14ac:dyDescent="0.2">
      <c r="A94" s="13"/>
    </row>
    <row r="95" spans="1:1" ht="11.25" customHeight="1" x14ac:dyDescent="0.2">
      <c r="A95" s="13"/>
    </row>
    <row r="96" spans="1:1" ht="11.25" customHeight="1" x14ac:dyDescent="0.2">
      <c r="A96" s="13"/>
    </row>
    <row r="97" spans="1:1" ht="11.25" customHeight="1" x14ac:dyDescent="0.2">
      <c r="A97" s="13"/>
    </row>
    <row r="98" spans="1:1" ht="11.25" customHeight="1" x14ac:dyDescent="0.2">
      <c r="A98" s="13"/>
    </row>
    <row r="99" spans="1:1" ht="11.25" customHeight="1" x14ac:dyDescent="0.2">
      <c r="A99" s="13"/>
    </row>
    <row r="100" spans="1:1" ht="11.25" customHeight="1" x14ac:dyDescent="0.2">
      <c r="A100" s="13"/>
    </row>
    <row r="101" spans="1:1" ht="11.25" customHeight="1" x14ac:dyDescent="0.2">
      <c r="A101" s="13"/>
    </row>
    <row r="102" spans="1:1" ht="11.25" customHeight="1" x14ac:dyDescent="0.2">
      <c r="A102" s="13"/>
    </row>
    <row r="103" spans="1:1" ht="11.25" customHeight="1" x14ac:dyDescent="0.2">
      <c r="A103" s="13"/>
    </row>
  </sheetData>
  <mergeCells count="1">
    <mergeCell ref="D1:E1"/>
  </mergeCells>
  <phoneticPr fontId="11" type="noConversion"/>
  <pageMargins left="0.75" right="0.75" top="1" bottom="1" header="0.5" footer="0.5"/>
  <pageSetup orientation="portrait" r:id="rId1"/>
  <headerFooter alignWithMargins="0">
    <oddHeader xml:space="preserve">&amp;CExhibit "F"
LOAN DEPARTMENT POSITIONS
</oddHead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>
    <tabColor theme="8" tint="0.79998168889431442"/>
  </sheetPr>
  <dimension ref="A1:AT39"/>
  <sheetViews>
    <sheetView topLeftCell="U1" workbookViewId="0">
      <selection activeCell="Z2" sqref="Z2:Z14"/>
    </sheetView>
  </sheetViews>
  <sheetFormatPr defaultRowHeight="12.75" x14ac:dyDescent="0.2"/>
  <cols>
    <col min="1" max="1" width="10.5703125" customWidth="1"/>
    <col min="2" max="2" width="12" customWidth="1"/>
    <col min="3" max="3" width="10.140625" customWidth="1"/>
    <col min="14" max="14" width="13" customWidth="1"/>
    <col min="18" max="18" width="10.140625" bestFit="1" customWidth="1"/>
    <col min="19" max="19" width="16.7109375" customWidth="1"/>
    <col min="20" max="20" width="10.5703125" customWidth="1"/>
    <col min="22" max="22" width="13.140625" customWidth="1"/>
    <col min="23" max="23" width="30.140625" customWidth="1"/>
    <col min="24" max="24" width="15" customWidth="1"/>
    <col min="25" max="25" width="19" customWidth="1"/>
    <col min="26" max="26" width="20.7109375" customWidth="1"/>
    <col min="27" max="27" width="26.7109375" customWidth="1"/>
    <col min="28" max="28" width="34.5703125" customWidth="1"/>
    <col min="29" max="29" width="13.28515625" customWidth="1"/>
    <col min="30" max="30" width="12" customWidth="1"/>
    <col min="34" max="34" width="51" bestFit="1" customWidth="1"/>
    <col min="35" max="35" width="22.42578125" customWidth="1"/>
    <col min="36" max="36" width="22" customWidth="1"/>
    <col min="37" max="37" width="18.140625" customWidth="1"/>
    <col min="39" max="39" width="10.7109375" customWidth="1"/>
    <col min="45" max="45" width="15.5703125" customWidth="1"/>
    <col min="47" max="47" width="15.28515625" customWidth="1"/>
  </cols>
  <sheetData>
    <row r="1" spans="1:46" x14ac:dyDescent="0.2">
      <c r="A1" t="s">
        <v>8</v>
      </c>
      <c r="B1" t="s">
        <v>605</v>
      </c>
      <c r="C1" t="s">
        <v>606</v>
      </c>
      <c r="D1" t="s">
        <v>607</v>
      </c>
      <c r="E1" t="s">
        <v>608</v>
      </c>
      <c r="F1" t="s">
        <v>609</v>
      </c>
      <c r="G1" t="s">
        <v>610</v>
      </c>
      <c r="H1" t="s">
        <v>611</v>
      </c>
      <c r="I1" t="s">
        <v>612</v>
      </c>
      <c r="J1" t="s">
        <v>613</v>
      </c>
      <c r="K1" t="s">
        <v>614</v>
      </c>
      <c r="L1" t="s">
        <v>615</v>
      </c>
      <c r="M1" t="s">
        <v>616</v>
      </c>
      <c r="N1" t="s">
        <v>617</v>
      </c>
      <c r="O1" t="s">
        <v>618</v>
      </c>
      <c r="P1" t="s">
        <v>619</v>
      </c>
      <c r="Q1" t="s">
        <v>620</v>
      </c>
      <c r="R1" t="s">
        <v>621</v>
      </c>
      <c r="S1" t="s">
        <v>444</v>
      </c>
      <c r="T1" t="s">
        <v>622</v>
      </c>
      <c r="U1" t="s">
        <v>623</v>
      </c>
      <c r="V1" t="s">
        <v>624</v>
      </c>
      <c r="W1" t="s">
        <v>625</v>
      </c>
      <c r="X1" s="2" t="s">
        <v>626</v>
      </c>
      <c r="Y1" t="s">
        <v>627</v>
      </c>
      <c r="Z1" t="s">
        <v>628</v>
      </c>
      <c r="AA1" t="s">
        <v>629</v>
      </c>
      <c r="AB1" t="s">
        <v>630</v>
      </c>
      <c r="AC1" t="s">
        <v>631</v>
      </c>
      <c r="AD1" t="s">
        <v>632</v>
      </c>
      <c r="AE1" t="s">
        <v>633</v>
      </c>
      <c r="AF1" t="s">
        <v>634</v>
      </c>
      <c r="AG1" t="s">
        <v>615</v>
      </c>
      <c r="AH1" t="s">
        <v>635</v>
      </c>
      <c r="AI1" t="s">
        <v>636</v>
      </c>
      <c r="AJ1" t="s">
        <v>637</v>
      </c>
      <c r="AK1" t="s">
        <v>638</v>
      </c>
      <c r="AL1" t="s">
        <v>639</v>
      </c>
      <c r="AM1" t="s">
        <v>640</v>
      </c>
      <c r="AN1" t="s">
        <v>641</v>
      </c>
      <c r="AP1" t="s">
        <v>642</v>
      </c>
      <c r="AS1" s="3" t="s">
        <v>643</v>
      </c>
      <c r="AT1" s="2"/>
    </row>
    <row r="2" spans="1:46" ht="25.5" x14ac:dyDescent="0.2">
      <c r="A2">
        <v>47968</v>
      </c>
      <c r="B2" t="s">
        <v>644</v>
      </c>
      <c r="C2" t="s">
        <v>645</v>
      </c>
      <c r="D2" t="s">
        <v>646</v>
      </c>
      <c r="E2" t="s">
        <v>647</v>
      </c>
      <c r="F2" t="s">
        <v>648</v>
      </c>
      <c r="G2" t="s">
        <v>611</v>
      </c>
      <c r="H2">
        <v>4.3330000000000002</v>
      </c>
      <c r="I2">
        <v>2.1669999999999998</v>
      </c>
      <c r="J2">
        <v>2</v>
      </c>
      <c r="K2">
        <v>1</v>
      </c>
      <c r="L2" t="s">
        <v>649</v>
      </c>
      <c r="M2" t="s">
        <v>650</v>
      </c>
      <c r="N2" t="s">
        <v>305</v>
      </c>
      <c r="O2" t="s">
        <v>651</v>
      </c>
      <c r="P2" s="154" t="s">
        <v>652</v>
      </c>
      <c r="Q2" t="s">
        <v>653</v>
      </c>
      <c r="R2" s="28"/>
      <c r="S2" t="s">
        <v>444</v>
      </c>
      <c r="T2" t="s">
        <v>654</v>
      </c>
      <c r="U2" t="s">
        <v>623</v>
      </c>
      <c r="V2" t="s">
        <v>655</v>
      </c>
      <c r="W2" s="4" t="s">
        <v>656</v>
      </c>
      <c r="X2" s="2" t="s">
        <v>623</v>
      </c>
      <c r="Y2" t="s">
        <v>623</v>
      </c>
      <c r="Z2" s="10" t="s">
        <v>657</v>
      </c>
      <c r="AA2" s="5" t="s">
        <v>658</v>
      </c>
      <c r="AB2" t="s">
        <v>659</v>
      </c>
      <c r="AC2" t="s">
        <v>660</v>
      </c>
      <c r="AD2" t="s">
        <v>619</v>
      </c>
      <c r="AE2" t="s">
        <v>661</v>
      </c>
      <c r="AF2" t="s">
        <v>649</v>
      </c>
      <c r="AG2" t="s">
        <v>649</v>
      </c>
      <c r="AH2" t="s">
        <v>662</v>
      </c>
      <c r="AI2" s="8" t="s">
        <v>663</v>
      </c>
      <c r="AJ2" s="4" t="s">
        <v>664</v>
      </c>
      <c r="AK2" t="s">
        <v>659</v>
      </c>
      <c r="AL2" t="s">
        <v>665</v>
      </c>
      <c r="AM2" s="8" t="s">
        <v>663</v>
      </c>
      <c r="AN2" s="5" t="s">
        <v>666</v>
      </c>
      <c r="AP2" s="4" t="s">
        <v>664</v>
      </c>
      <c r="AS2" s="216" t="s">
        <v>289</v>
      </c>
      <c r="AT2" s="6"/>
    </row>
    <row r="3" spans="1:46" ht="33.75" x14ac:dyDescent="0.2">
      <c r="A3">
        <v>47954</v>
      </c>
      <c r="B3" t="s">
        <v>667</v>
      </c>
      <c r="C3" t="s">
        <v>668</v>
      </c>
      <c r="D3" t="s">
        <v>669</v>
      </c>
      <c r="E3" t="s">
        <v>670</v>
      </c>
      <c r="F3" t="s">
        <v>671</v>
      </c>
      <c r="G3" t="s">
        <v>672</v>
      </c>
      <c r="L3" t="s">
        <v>673</v>
      </c>
      <c r="M3" t="s">
        <v>674</v>
      </c>
      <c r="N3" t="s">
        <v>675</v>
      </c>
      <c r="O3" t="s">
        <v>676</v>
      </c>
      <c r="P3" s="154" t="s">
        <v>677</v>
      </c>
      <c r="Q3" t="s">
        <v>678</v>
      </c>
      <c r="R3" s="28"/>
      <c r="S3" t="s">
        <v>679</v>
      </c>
      <c r="T3" t="s">
        <v>680</v>
      </c>
      <c r="U3" t="s">
        <v>681</v>
      </c>
      <c r="V3" t="s">
        <v>682</v>
      </c>
      <c r="W3" s="4" t="s">
        <v>683</v>
      </c>
      <c r="X3" s="2" t="s">
        <v>681</v>
      </c>
      <c r="Y3" t="s">
        <v>681</v>
      </c>
      <c r="Z3" s="8" t="s">
        <v>684</v>
      </c>
      <c r="AA3" s="5" t="s">
        <v>685</v>
      </c>
      <c r="AB3" t="s">
        <v>681</v>
      </c>
      <c r="AC3" t="s">
        <v>686</v>
      </c>
      <c r="AD3" t="s">
        <v>56</v>
      </c>
      <c r="AE3" t="s">
        <v>687</v>
      </c>
      <c r="AF3" t="s">
        <v>688</v>
      </c>
      <c r="AG3" t="s">
        <v>673</v>
      </c>
      <c r="AH3" t="s">
        <v>689</v>
      </c>
      <c r="AI3" s="8" t="s">
        <v>690</v>
      </c>
      <c r="AJ3" s="4" t="s">
        <v>691</v>
      </c>
      <c r="AK3" t="s">
        <v>681</v>
      </c>
      <c r="AL3" t="s">
        <v>692</v>
      </c>
      <c r="AM3" s="8" t="s">
        <v>690</v>
      </c>
      <c r="AN3" s="5" t="s">
        <v>693</v>
      </c>
      <c r="AP3" s="4" t="s">
        <v>691</v>
      </c>
      <c r="AS3" s="4" t="s">
        <v>918</v>
      </c>
      <c r="AT3" s="6"/>
    </row>
    <row r="4" spans="1:46" ht="25.5" customHeight="1" x14ac:dyDescent="0.2">
      <c r="A4">
        <v>46172</v>
      </c>
      <c r="B4" t="s">
        <v>695</v>
      </c>
      <c r="C4" t="s">
        <v>696</v>
      </c>
      <c r="D4" t="s">
        <v>697</v>
      </c>
      <c r="E4" t="s">
        <v>698</v>
      </c>
      <c r="F4" t="s">
        <v>699</v>
      </c>
      <c r="G4" t="s">
        <v>700</v>
      </c>
      <c r="M4" t="s">
        <v>701</v>
      </c>
      <c r="N4" t="s">
        <v>702</v>
      </c>
      <c r="O4" t="s">
        <v>703</v>
      </c>
      <c r="P4" s="154" t="s">
        <v>704</v>
      </c>
      <c r="Q4" s="154" t="s">
        <v>705</v>
      </c>
      <c r="R4" s="28"/>
      <c r="S4" t="s">
        <v>706</v>
      </c>
      <c r="T4" t="s">
        <v>707</v>
      </c>
      <c r="U4" t="s">
        <v>708</v>
      </c>
      <c r="V4" t="s">
        <v>709</v>
      </c>
      <c r="W4" s="4" t="s">
        <v>710</v>
      </c>
      <c r="X4" s="3" t="s">
        <v>711</v>
      </c>
      <c r="Y4" s="6" t="s">
        <v>712</v>
      </c>
      <c r="Z4" s="10" t="s">
        <v>713</v>
      </c>
      <c r="AA4" s="5" t="s">
        <v>714</v>
      </c>
      <c r="AB4" s="4" t="s">
        <v>715</v>
      </c>
      <c r="AC4" t="s">
        <v>716</v>
      </c>
      <c r="AD4" t="s">
        <v>717</v>
      </c>
      <c r="AE4" t="s">
        <v>718</v>
      </c>
      <c r="AH4" t="s">
        <v>719</v>
      </c>
      <c r="AI4" s="8" t="s">
        <v>720</v>
      </c>
      <c r="AJ4" s="4" t="s">
        <v>721</v>
      </c>
      <c r="AK4" t="s">
        <v>722</v>
      </c>
      <c r="AL4" s="11" t="s">
        <v>723</v>
      </c>
      <c r="AM4" s="8" t="s">
        <v>720</v>
      </c>
      <c r="AN4" s="5" t="s">
        <v>724</v>
      </c>
      <c r="AP4" s="4" t="s">
        <v>721</v>
      </c>
      <c r="AQ4" s="11"/>
      <c r="AS4" s="216" t="s">
        <v>694</v>
      </c>
      <c r="AT4" s="3"/>
    </row>
    <row r="5" spans="1:46" ht="31.5" customHeight="1" x14ac:dyDescent="0.2">
      <c r="A5">
        <v>47933</v>
      </c>
      <c r="B5" t="s">
        <v>725</v>
      </c>
      <c r="C5" t="s">
        <v>726</v>
      </c>
      <c r="D5" t="s">
        <v>727</v>
      </c>
      <c r="E5" t="s">
        <v>728</v>
      </c>
      <c r="F5" t="s">
        <v>729</v>
      </c>
      <c r="G5" t="s">
        <v>614</v>
      </c>
      <c r="N5" s="4" t="s">
        <v>730</v>
      </c>
      <c r="O5" t="s">
        <v>731</v>
      </c>
      <c r="P5" s="154" t="s">
        <v>732</v>
      </c>
      <c r="Q5" s="154" t="s">
        <v>914</v>
      </c>
      <c r="R5" s="28"/>
      <c r="S5" t="s">
        <v>733</v>
      </c>
      <c r="T5" t="s">
        <v>734</v>
      </c>
      <c r="V5" t="s">
        <v>735</v>
      </c>
      <c r="W5" s="4" t="s">
        <v>736</v>
      </c>
      <c r="X5" s="3"/>
      <c r="Z5" s="10"/>
      <c r="AA5" s="5" t="s">
        <v>737</v>
      </c>
      <c r="AB5" s="4"/>
      <c r="AC5" t="s">
        <v>738</v>
      </c>
      <c r="AD5" t="s">
        <v>739</v>
      </c>
      <c r="AE5" t="s">
        <v>740</v>
      </c>
      <c r="AH5" t="s">
        <v>741</v>
      </c>
      <c r="AI5" s="8" t="s">
        <v>742</v>
      </c>
      <c r="AJ5" s="4" t="s">
        <v>743</v>
      </c>
      <c r="AK5" t="s">
        <v>744</v>
      </c>
      <c r="AL5" s="11" t="s">
        <v>745</v>
      </c>
      <c r="AM5" s="8" t="s">
        <v>742</v>
      </c>
      <c r="AN5" s="5" t="s">
        <v>746</v>
      </c>
      <c r="AP5" s="4" t="s">
        <v>743</v>
      </c>
      <c r="AS5" s="216" t="s">
        <v>922</v>
      </c>
    </row>
    <row r="6" spans="1:46" ht="25.5" x14ac:dyDescent="0.2">
      <c r="A6">
        <v>47955</v>
      </c>
      <c r="B6" t="s">
        <v>748</v>
      </c>
      <c r="C6" t="s">
        <v>749</v>
      </c>
      <c r="D6" t="s">
        <v>750</v>
      </c>
      <c r="E6" t="s">
        <v>751</v>
      </c>
      <c r="F6" t="s">
        <v>752</v>
      </c>
      <c r="O6" t="s">
        <v>753</v>
      </c>
      <c r="P6" s="154" t="s">
        <v>754</v>
      </c>
      <c r="Q6" s="154" t="s">
        <v>915</v>
      </c>
      <c r="R6" s="28"/>
      <c r="S6" t="s">
        <v>755</v>
      </c>
      <c r="V6" t="s">
        <v>756</v>
      </c>
      <c r="W6" s="4" t="s">
        <v>757</v>
      </c>
      <c r="X6" s="3"/>
      <c r="Z6" s="8" t="s">
        <v>758</v>
      </c>
      <c r="AA6" s="5" t="s">
        <v>759</v>
      </c>
      <c r="AB6" s="4"/>
      <c r="AC6" t="s">
        <v>760</v>
      </c>
      <c r="AD6" t="s">
        <v>761</v>
      </c>
      <c r="AE6" t="s">
        <v>762</v>
      </c>
      <c r="AH6" t="s">
        <v>763</v>
      </c>
      <c r="AI6" s="8" t="s">
        <v>764</v>
      </c>
      <c r="AJ6" s="4" t="s">
        <v>765</v>
      </c>
      <c r="AK6" t="s">
        <v>766</v>
      </c>
      <c r="AM6" s="8" t="s">
        <v>767</v>
      </c>
      <c r="AN6" s="5" t="s">
        <v>768</v>
      </c>
      <c r="AP6" s="4" t="s">
        <v>765</v>
      </c>
      <c r="AQ6" s="11"/>
      <c r="AS6" s="216" t="s">
        <v>917</v>
      </c>
    </row>
    <row r="7" spans="1:46" ht="24.75" customHeight="1" x14ac:dyDescent="0.2">
      <c r="A7">
        <v>47981</v>
      </c>
      <c r="B7" t="s">
        <v>770</v>
      </c>
      <c r="E7" t="s">
        <v>771</v>
      </c>
      <c r="F7" t="s">
        <v>772</v>
      </c>
      <c r="O7" t="s">
        <v>773</v>
      </c>
      <c r="P7" s="154" t="s">
        <v>774</v>
      </c>
      <c r="Q7" s="154" t="s">
        <v>916</v>
      </c>
      <c r="R7" s="28"/>
      <c r="S7" t="s">
        <v>775</v>
      </c>
      <c r="V7" t="s">
        <v>776</v>
      </c>
      <c r="W7" s="4" t="s">
        <v>777</v>
      </c>
      <c r="X7" s="3"/>
      <c r="Z7" s="8" t="s">
        <v>690</v>
      </c>
      <c r="AA7" s="5" t="s">
        <v>778</v>
      </c>
      <c r="AB7" s="4"/>
      <c r="AC7" t="s">
        <v>779</v>
      </c>
      <c r="AD7" t="s">
        <v>780</v>
      </c>
      <c r="AE7" t="s">
        <v>781</v>
      </c>
      <c r="AH7" t="s">
        <v>782</v>
      </c>
      <c r="AI7" s="8" t="s">
        <v>783</v>
      </c>
      <c r="AJ7" s="4" t="s">
        <v>784</v>
      </c>
      <c r="AK7" t="s">
        <v>785</v>
      </c>
      <c r="AL7" s="11"/>
      <c r="AM7" s="8" t="s">
        <v>786</v>
      </c>
      <c r="AN7" s="5" t="s">
        <v>787</v>
      </c>
      <c r="AP7" s="4" t="s">
        <v>784</v>
      </c>
      <c r="AS7" s="216" t="s">
        <v>747</v>
      </c>
    </row>
    <row r="8" spans="1:46" ht="17.25" x14ac:dyDescent="0.2">
      <c r="B8" t="s">
        <v>789</v>
      </c>
      <c r="E8" t="s">
        <v>790</v>
      </c>
      <c r="P8" s="154" t="s">
        <v>791</v>
      </c>
      <c r="Q8" s="154"/>
      <c r="R8" s="28"/>
      <c r="W8" s="4" t="s">
        <v>792</v>
      </c>
      <c r="X8" s="3"/>
      <c r="Z8" s="8" t="s">
        <v>720</v>
      </c>
      <c r="AA8" s="5" t="s">
        <v>793</v>
      </c>
      <c r="AB8" s="4"/>
      <c r="AH8" t="s">
        <v>794</v>
      </c>
      <c r="AI8" s="8" t="s">
        <v>786</v>
      </c>
      <c r="AJ8" s="4" t="s">
        <v>795</v>
      </c>
      <c r="AK8" t="s">
        <v>796</v>
      </c>
      <c r="AN8" s="5" t="s">
        <v>797</v>
      </c>
      <c r="AP8" s="4" t="s">
        <v>795</v>
      </c>
      <c r="AQ8" s="11"/>
      <c r="AS8" s="216" t="s">
        <v>769</v>
      </c>
    </row>
    <row r="9" spans="1:46" ht="32.25" customHeight="1" x14ac:dyDescent="0.2">
      <c r="E9" t="s">
        <v>776</v>
      </c>
      <c r="P9" s="154" t="s">
        <v>913</v>
      </c>
      <c r="R9" s="28"/>
      <c r="W9" s="4" t="s">
        <v>799</v>
      </c>
      <c r="X9" s="3"/>
      <c r="Z9" s="8" t="s">
        <v>742</v>
      </c>
      <c r="AA9" s="5" t="s">
        <v>800</v>
      </c>
      <c r="AB9" s="4"/>
      <c r="AH9" t="s">
        <v>801</v>
      </c>
      <c r="AI9" s="9" t="s">
        <v>802</v>
      </c>
      <c r="AJ9" s="4" t="s">
        <v>803</v>
      </c>
      <c r="AK9" t="s">
        <v>804</v>
      </c>
      <c r="AN9" s="5" t="s">
        <v>805</v>
      </c>
      <c r="AP9" s="4" t="s">
        <v>803</v>
      </c>
      <c r="AS9" s="216" t="s">
        <v>788</v>
      </c>
    </row>
    <row r="10" spans="1:46" ht="36.75" customHeight="1" x14ac:dyDescent="0.2">
      <c r="P10" s="154" t="s">
        <v>807</v>
      </c>
      <c r="W10" s="4" t="s">
        <v>808</v>
      </c>
      <c r="X10" s="3"/>
      <c r="Z10" s="8" t="s">
        <v>767</v>
      </c>
      <c r="AA10" s="5" t="s">
        <v>809</v>
      </c>
      <c r="AH10" t="s">
        <v>810</v>
      </c>
      <c r="AI10" s="8" t="s">
        <v>811</v>
      </c>
      <c r="AJ10" s="4" t="s">
        <v>812</v>
      </c>
      <c r="AK10" t="s">
        <v>813</v>
      </c>
      <c r="AN10" s="5"/>
      <c r="AP10" s="4" t="s">
        <v>812</v>
      </c>
      <c r="AS10" s="216" t="s">
        <v>798</v>
      </c>
    </row>
    <row r="11" spans="1:46" ht="26.25" customHeight="1" x14ac:dyDescent="0.2">
      <c r="P11" s="154" t="s">
        <v>814</v>
      </c>
      <c r="W11" s="4" t="s">
        <v>815</v>
      </c>
      <c r="X11" s="3"/>
      <c r="Z11" s="8" t="s">
        <v>786</v>
      </c>
      <c r="AA11" s="5" t="s">
        <v>816</v>
      </c>
      <c r="AH11" t="s">
        <v>817</v>
      </c>
      <c r="AJ11" s="4" t="s">
        <v>818</v>
      </c>
      <c r="AK11" t="s">
        <v>819</v>
      </c>
      <c r="AM11" s="9"/>
      <c r="AN11" s="5"/>
      <c r="AP11" s="4" t="s">
        <v>818</v>
      </c>
      <c r="AS11" s="216" t="s">
        <v>806</v>
      </c>
    </row>
    <row r="12" spans="1:46" ht="38.25" customHeight="1" x14ac:dyDescent="0.2">
      <c r="P12" s="154" t="s">
        <v>820</v>
      </c>
      <c r="W12" s="4" t="s">
        <v>821</v>
      </c>
      <c r="X12" s="3"/>
      <c r="Z12" s="9" t="s">
        <v>802</v>
      </c>
      <c r="AA12" s="5" t="s">
        <v>822</v>
      </c>
      <c r="AH12" t="s">
        <v>823</v>
      </c>
      <c r="AJ12" s="4" t="s">
        <v>824</v>
      </c>
      <c r="AK12" t="s">
        <v>825</v>
      </c>
      <c r="AM12" s="8"/>
      <c r="AN12" s="5"/>
      <c r="AP12" s="4" t="s">
        <v>824</v>
      </c>
    </row>
    <row r="13" spans="1:46" ht="36.75" customHeight="1" x14ac:dyDescent="0.2">
      <c r="P13" s="154" t="s">
        <v>826</v>
      </c>
      <c r="W13" s="4" t="s">
        <v>827</v>
      </c>
      <c r="X13" s="3"/>
      <c r="Z13" s="8" t="s">
        <v>828</v>
      </c>
      <c r="AA13" s="5" t="s">
        <v>829</v>
      </c>
      <c r="AH13" t="s">
        <v>830</v>
      </c>
      <c r="AJ13" s="4" t="s">
        <v>831</v>
      </c>
      <c r="AK13" t="s">
        <v>832</v>
      </c>
      <c r="AM13" s="8"/>
      <c r="AN13" s="5"/>
      <c r="AP13" s="4" t="s">
        <v>831</v>
      </c>
    </row>
    <row r="14" spans="1:46" ht="35.25" customHeight="1" x14ac:dyDescent="0.2">
      <c r="P14" t="s">
        <v>833</v>
      </c>
      <c r="W14" s="4" t="s">
        <v>834</v>
      </c>
      <c r="X14" s="3"/>
      <c r="Z14" s="8" t="s">
        <v>811</v>
      </c>
      <c r="AA14" s="5" t="s">
        <v>835</v>
      </c>
      <c r="AH14" t="s">
        <v>836</v>
      </c>
      <c r="AK14" t="s">
        <v>837</v>
      </c>
      <c r="AN14" s="5"/>
      <c r="AP14" s="4" t="s">
        <v>656</v>
      </c>
    </row>
    <row r="15" spans="1:46" ht="34.5" customHeight="1" x14ac:dyDescent="0.2">
      <c r="P15" s="154" t="s">
        <v>921</v>
      </c>
      <c r="W15" s="4" t="s">
        <v>838</v>
      </c>
      <c r="X15" s="3"/>
      <c r="Z15" s="2"/>
      <c r="AA15" s="5" t="s">
        <v>839</v>
      </c>
      <c r="AH15" t="s">
        <v>840</v>
      </c>
      <c r="AK15" t="s">
        <v>841</v>
      </c>
      <c r="AM15" s="2"/>
      <c r="AN15" s="5"/>
      <c r="AP15" s="4" t="s">
        <v>683</v>
      </c>
    </row>
    <row r="16" spans="1:46" ht="30" customHeight="1" x14ac:dyDescent="0.2">
      <c r="P16" s="154" t="s">
        <v>842</v>
      </c>
      <c r="W16" s="4" t="s">
        <v>843</v>
      </c>
      <c r="X16" s="3"/>
      <c r="Z16" s="9" t="s">
        <v>844</v>
      </c>
      <c r="AA16" s="5" t="s">
        <v>845</v>
      </c>
      <c r="AH16" t="s">
        <v>846</v>
      </c>
      <c r="AK16" t="s">
        <v>847</v>
      </c>
      <c r="AM16" s="9"/>
      <c r="AN16" s="5"/>
      <c r="AP16" s="4" t="s">
        <v>710</v>
      </c>
    </row>
    <row r="17" spans="3:42" ht="27" customHeight="1" x14ac:dyDescent="0.2">
      <c r="P17" s="154" t="s">
        <v>848</v>
      </c>
      <c r="W17" s="4" t="s">
        <v>849</v>
      </c>
      <c r="X17" s="3"/>
      <c r="Z17" s="2"/>
      <c r="AA17" s="5" t="s">
        <v>850</v>
      </c>
      <c r="AH17" t="s">
        <v>851</v>
      </c>
      <c r="AK17" t="s">
        <v>852</v>
      </c>
      <c r="AM17" s="2"/>
      <c r="AN17" s="5"/>
      <c r="AP17" s="4" t="s">
        <v>736</v>
      </c>
    </row>
    <row r="18" spans="3:42" ht="26.25" customHeight="1" x14ac:dyDescent="0.2">
      <c r="P18" s="154"/>
      <c r="W18" s="4" t="s">
        <v>853</v>
      </c>
      <c r="X18" s="3"/>
      <c r="Z18" s="9" t="s">
        <v>854</v>
      </c>
      <c r="AA18" s="5" t="s">
        <v>855</v>
      </c>
      <c r="AH18" t="s">
        <v>856</v>
      </c>
      <c r="AK18" t="s">
        <v>857</v>
      </c>
      <c r="AM18" s="9"/>
      <c r="AN18" s="5"/>
      <c r="AP18" s="4" t="s">
        <v>757</v>
      </c>
    </row>
    <row r="19" spans="3:42" ht="29.25" customHeight="1" x14ac:dyDescent="0.2">
      <c r="W19" s="4" t="s">
        <v>858</v>
      </c>
      <c r="X19" s="3"/>
      <c r="Z19" s="9" t="s">
        <v>859</v>
      </c>
      <c r="AA19" s="5" t="s">
        <v>860</v>
      </c>
      <c r="AH19" t="s">
        <v>861</v>
      </c>
      <c r="AK19" t="s">
        <v>862</v>
      </c>
      <c r="AM19" s="9"/>
      <c r="AN19" s="5"/>
      <c r="AP19" s="4" t="s">
        <v>777</v>
      </c>
    </row>
    <row r="20" spans="3:42" ht="21.75" customHeight="1" x14ac:dyDescent="0.2">
      <c r="W20" s="4" t="s">
        <v>863</v>
      </c>
      <c r="X20" s="3"/>
      <c r="Z20" s="9" t="s">
        <v>864</v>
      </c>
      <c r="AA20" s="5" t="s">
        <v>865</v>
      </c>
      <c r="AH20" t="s">
        <v>866</v>
      </c>
      <c r="AK20" t="s">
        <v>867</v>
      </c>
      <c r="AM20" s="9"/>
      <c r="AN20" s="5"/>
      <c r="AP20" s="4" t="s">
        <v>792</v>
      </c>
    </row>
    <row r="21" spans="3:42" ht="21.75" customHeight="1" x14ac:dyDescent="0.2">
      <c r="W21" s="4" t="s">
        <v>868</v>
      </c>
      <c r="X21" s="3"/>
      <c r="Z21" s="9" t="s">
        <v>869</v>
      </c>
      <c r="AA21" s="5" t="s">
        <v>666</v>
      </c>
      <c r="AM21" s="9"/>
      <c r="AP21" s="4" t="s">
        <v>799</v>
      </c>
    </row>
    <row r="22" spans="3:42" ht="17.25" x14ac:dyDescent="0.2">
      <c r="W22" s="4" t="s">
        <v>870</v>
      </c>
      <c r="Z22" s="9" t="s">
        <v>871</v>
      </c>
      <c r="AA22" s="5" t="s">
        <v>693</v>
      </c>
      <c r="AM22" s="9"/>
      <c r="AP22" s="4" t="s">
        <v>872</v>
      </c>
    </row>
    <row r="23" spans="3:42" x14ac:dyDescent="0.2">
      <c r="W23" s="4" t="s">
        <v>873</v>
      </c>
      <c r="AA23" s="5" t="s">
        <v>724</v>
      </c>
      <c r="AP23" s="4" t="s">
        <v>815</v>
      </c>
    </row>
    <row r="24" spans="3:42" x14ac:dyDescent="0.2">
      <c r="W24" s="4" t="s">
        <v>874</v>
      </c>
      <c r="AA24" s="5" t="s">
        <v>746</v>
      </c>
      <c r="AP24" s="4" t="s">
        <v>821</v>
      </c>
    </row>
    <row r="25" spans="3:42" x14ac:dyDescent="0.2">
      <c r="W25" s="4" t="s">
        <v>875</v>
      </c>
      <c r="AA25" s="5" t="s">
        <v>768</v>
      </c>
      <c r="AP25" s="4"/>
    </row>
    <row r="26" spans="3:42" x14ac:dyDescent="0.2">
      <c r="W26" s="4" t="s">
        <v>876</v>
      </c>
      <c r="AA26" s="5" t="s">
        <v>787</v>
      </c>
    </row>
    <row r="27" spans="3:42" x14ac:dyDescent="0.2">
      <c r="W27" s="4" t="s">
        <v>664</v>
      </c>
      <c r="AA27" s="5" t="s">
        <v>797</v>
      </c>
    </row>
    <row r="28" spans="3:42" x14ac:dyDescent="0.2">
      <c r="W28" s="4" t="s">
        <v>691</v>
      </c>
      <c r="AA28" s="5" t="s">
        <v>805</v>
      </c>
    </row>
    <row r="29" spans="3:42" x14ac:dyDescent="0.2">
      <c r="C29">
        <f>12</f>
        <v>12</v>
      </c>
      <c r="W29" s="4" t="s">
        <v>721</v>
      </c>
      <c r="AA29" s="5" t="s">
        <v>877</v>
      </c>
    </row>
    <row r="30" spans="3:42" x14ac:dyDescent="0.2">
      <c r="W30" s="4" t="s">
        <v>743</v>
      </c>
    </row>
    <row r="31" spans="3:42" x14ac:dyDescent="0.2">
      <c r="W31" s="4" t="s">
        <v>765</v>
      </c>
    </row>
    <row r="32" spans="3:42" x14ac:dyDescent="0.2">
      <c r="W32" s="4" t="s">
        <v>784</v>
      </c>
    </row>
    <row r="33" spans="23:23" x14ac:dyDescent="0.2">
      <c r="W33" s="4" t="s">
        <v>795</v>
      </c>
    </row>
    <row r="34" spans="23:23" x14ac:dyDescent="0.2">
      <c r="W34" s="4" t="s">
        <v>803</v>
      </c>
    </row>
    <row r="35" spans="23:23" x14ac:dyDescent="0.2">
      <c r="W35" s="4" t="s">
        <v>878</v>
      </c>
    </row>
    <row r="36" spans="23:23" x14ac:dyDescent="0.2">
      <c r="W36" s="4" t="s">
        <v>812</v>
      </c>
    </row>
    <row r="37" spans="23:23" x14ac:dyDescent="0.2">
      <c r="W37" s="4" t="s">
        <v>818</v>
      </c>
    </row>
    <row r="38" spans="23:23" x14ac:dyDescent="0.2">
      <c r="W38" s="4" t="s">
        <v>824</v>
      </c>
    </row>
    <row r="39" spans="23:23" x14ac:dyDescent="0.2">
      <c r="W39" s="4" t="s">
        <v>831</v>
      </c>
    </row>
  </sheetData>
  <sheetProtection selectLockedCells="1" selectUnlockedCells="1"/>
  <phoneticPr fontId="11" type="noConversion"/>
  <dataValidations count="4">
    <dataValidation type="list" allowBlank="1" showInputMessage="1" showErrorMessage="1" sqref="G2" xr:uid="{00000000-0002-0000-0D00-000000000000}">
      <formula1>weekly</formula1>
    </dataValidation>
    <dataValidation type="list" allowBlank="1" showInputMessage="1" showErrorMessage="1" sqref="G3" xr:uid="{00000000-0002-0000-0D00-000001000000}">
      <formula1>bi</formula1>
    </dataValidation>
    <dataValidation type="list" allowBlank="1" showInputMessage="1" showErrorMessage="1" sqref="G4" xr:uid="{00000000-0002-0000-0D00-000002000000}">
      <formula1>semi</formula1>
    </dataValidation>
    <dataValidation type="list" allowBlank="1" showInputMessage="1" showErrorMessage="1" sqref="G5" xr:uid="{00000000-0002-0000-0D00-000003000000}">
      <formula1>monthly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1782-99C4-4C1C-8D41-5F6510DDFE52}">
  <sheetPr codeName="Sheet13">
    <tabColor theme="8" tint="0.79998168889431442"/>
  </sheetPr>
  <dimension ref="A2:A43"/>
  <sheetViews>
    <sheetView workbookViewId="0">
      <selection activeCell="M41" sqref="M41"/>
    </sheetView>
  </sheetViews>
  <sheetFormatPr defaultRowHeight="12.75" x14ac:dyDescent="0.2"/>
  <sheetData>
    <row r="2" spans="1:1" s="13" customFormat="1" x14ac:dyDescent="0.2">
      <c r="A2" s="13" t="s">
        <v>879</v>
      </c>
    </row>
    <row r="4" spans="1:1" x14ac:dyDescent="0.2">
      <c r="A4" t="s">
        <v>880</v>
      </c>
    </row>
    <row r="5" spans="1:1" x14ac:dyDescent="0.2">
      <c r="A5" t="s">
        <v>881</v>
      </c>
    </row>
    <row r="6" spans="1:1" x14ac:dyDescent="0.2">
      <c r="A6" t="s">
        <v>882</v>
      </c>
    </row>
    <row r="7" spans="1:1" x14ac:dyDescent="0.2">
      <c r="A7" t="s">
        <v>883</v>
      </c>
    </row>
    <row r="9" spans="1:1" x14ac:dyDescent="0.2">
      <c r="A9" t="s">
        <v>884</v>
      </c>
    </row>
    <row r="10" spans="1:1" x14ac:dyDescent="0.2">
      <c r="A10" t="s">
        <v>885</v>
      </c>
    </row>
    <row r="11" spans="1:1" x14ac:dyDescent="0.2">
      <c r="A11" t="s">
        <v>886</v>
      </c>
    </row>
    <row r="12" spans="1:1" x14ac:dyDescent="0.2">
      <c r="A12" t="s">
        <v>887</v>
      </c>
    </row>
    <row r="13" spans="1:1" x14ac:dyDescent="0.2">
      <c r="A13" t="s">
        <v>888</v>
      </c>
    </row>
    <row r="14" spans="1:1" x14ac:dyDescent="0.2">
      <c r="A14" t="s">
        <v>889</v>
      </c>
    </row>
    <row r="16" spans="1:1" x14ac:dyDescent="0.2">
      <c r="A16" t="s">
        <v>890</v>
      </c>
    </row>
    <row r="17" spans="1:1" x14ac:dyDescent="0.2">
      <c r="A17" t="s">
        <v>891</v>
      </c>
    </row>
    <row r="18" spans="1:1" x14ac:dyDescent="0.2">
      <c r="A18" t="s">
        <v>892</v>
      </c>
    </row>
    <row r="19" spans="1:1" x14ac:dyDescent="0.2">
      <c r="A19" t="s">
        <v>893</v>
      </c>
    </row>
    <row r="20" spans="1:1" x14ac:dyDescent="0.2">
      <c r="A20" t="s">
        <v>894</v>
      </c>
    </row>
    <row r="21" spans="1:1" x14ac:dyDescent="0.2">
      <c r="A21" t="s">
        <v>895</v>
      </c>
    </row>
    <row r="23" spans="1:1" x14ac:dyDescent="0.2">
      <c r="A23" t="s">
        <v>896</v>
      </c>
    </row>
    <row r="24" spans="1:1" x14ac:dyDescent="0.2">
      <c r="A24" t="s">
        <v>897</v>
      </c>
    </row>
    <row r="25" spans="1:1" x14ac:dyDescent="0.2">
      <c r="A25" t="s">
        <v>898</v>
      </c>
    </row>
    <row r="26" spans="1:1" x14ac:dyDescent="0.2">
      <c r="A26" t="s">
        <v>899</v>
      </c>
    </row>
    <row r="27" spans="1:1" x14ac:dyDescent="0.2">
      <c r="A27" t="s">
        <v>900</v>
      </c>
    </row>
    <row r="29" spans="1:1" x14ac:dyDescent="0.2">
      <c r="A29" t="s">
        <v>901</v>
      </c>
    </row>
    <row r="30" spans="1:1" x14ac:dyDescent="0.2">
      <c r="A30" t="s">
        <v>902</v>
      </c>
    </row>
    <row r="31" spans="1:1" x14ac:dyDescent="0.2">
      <c r="A31" t="s">
        <v>903</v>
      </c>
    </row>
    <row r="33" spans="1:1" x14ac:dyDescent="0.2">
      <c r="A33" t="s">
        <v>904</v>
      </c>
    </row>
    <row r="34" spans="1:1" x14ac:dyDescent="0.2">
      <c r="A34" t="s">
        <v>905</v>
      </c>
    </row>
    <row r="35" spans="1:1" x14ac:dyDescent="0.2">
      <c r="A35" t="s">
        <v>906</v>
      </c>
    </row>
    <row r="37" spans="1:1" x14ac:dyDescent="0.2">
      <c r="A37" t="s">
        <v>907</v>
      </c>
    </row>
    <row r="38" spans="1:1" x14ac:dyDescent="0.2">
      <c r="A38" t="s">
        <v>908</v>
      </c>
    </row>
    <row r="39" spans="1:1" x14ac:dyDescent="0.2">
      <c r="A39" t="s">
        <v>909</v>
      </c>
    </row>
    <row r="40" spans="1:1" x14ac:dyDescent="0.2">
      <c r="A40" t="s">
        <v>910</v>
      </c>
    </row>
    <row r="42" spans="1:1" x14ac:dyDescent="0.2">
      <c r="A42" t="s">
        <v>911</v>
      </c>
    </row>
    <row r="43" spans="1:1" x14ac:dyDescent="0.2">
      <c r="A43" t="s">
        <v>912</v>
      </c>
    </row>
  </sheetData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F336C-60C4-4AF9-8293-E1558AD3B0BD}">
  <sheetPr codeName="Sheet14"/>
  <dimension ref="A1:H2"/>
  <sheetViews>
    <sheetView workbookViewId="0">
      <selection activeCell="C3" sqref="C3"/>
    </sheetView>
  </sheetViews>
  <sheetFormatPr defaultRowHeight="12.75" x14ac:dyDescent="0.2"/>
  <cols>
    <col min="3" max="3" width="10.7109375" customWidth="1"/>
    <col min="4" max="4" width="12" customWidth="1"/>
    <col min="5" max="5" width="12.7109375" customWidth="1"/>
    <col min="6" max="6" width="12.28515625" customWidth="1"/>
    <col min="8" max="8" width="39.5703125" customWidth="1"/>
  </cols>
  <sheetData>
    <row r="1" spans="1:8" ht="33" x14ac:dyDescent="0.45">
      <c r="A1" s="154"/>
      <c r="H1" s="256" t="s">
        <v>925</v>
      </c>
    </row>
    <row r="2" spans="1:8" x14ac:dyDescent="0.2">
      <c r="C2" s="154" t="s">
        <v>2</v>
      </c>
      <c r="D2" s="154" t="s">
        <v>3</v>
      </c>
      <c r="E2" s="154" t="s">
        <v>926</v>
      </c>
      <c r="F2" s="154" t="s">
        <v>927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D26E30865D804A8409302BB6805E64" ma:contentTypeVersion="2" ma:contentTypeDescription="Create a new document." ma:contentTypeScope="" ma:versionID="f96459ff5457e0e9d8205c964adb00d5">
  <xsd:schema xmlns:xsd="http://www.w3.org/2001/XMLSchema" xmlns:xs="http://www.w3.org/2001/XMLSchema" xmlns:p="http://schemas.microsoft.com/office/2006/metadata/properties" xmlns:ns3="eb8e0eed-89c3-4593-91c7-d9dd0578cfcc" targetNamespace="http://schemas.microsoft.com/office/2006/metadata/properties" ma:root="true" ma:fieldsID="3a44b566eef31ddc2d110f7743681c18" ns3:_="">
    <xsd:import namespace="eb8e0eed-89c3-4593-91c7-d9dd0578cfc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8e0eed-89c3-4593-91c7-d9dd0578cf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4062FD-442A-4C66-8CEF-4130808982E5}">
  <ds:schemaRefs>
    <ds:schemaRef ds:uri="http://schemas.microsoft.com/office/infopath/2007/PartnerControls"/>
    <ds:schemaRef ds:uri="http://purl.org/dc/terms/"/>
    <ds:schemaRef ds:uri="http://schemas.microsoft.com/office/2006/documentManagement/types"/>
    <ds:schemaRef ds:uri="eb8e0eed-89c3-4593-91c7-d9dd0578cfcc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199BCA6-B050-439B-A56E-75AE7B9F31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b8e0eed-89c3-4593-91c7-d9dd0578cf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3F4732B-F6F9-4EE5-9E93-14172D8733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53</vt:i4>
      </vt:variant>
    </vt:vector>
  </HeadingPairs>
  <TitlesOfParts>
    <vt:vector size="69" baseType="lpstr">
      <vt:lpstr>Checklist Wizard</vt:lpstr>
      <vt:lpstr>Master Checklist</vt:lpstr>
      <vt:lpstr>Consumer Closing Doc Request</vt:lpstr>
      <vt:lpstr>Deny or Withdraw</vt:lpstr>
      <vt:lpstr>Rate Tables</vt:lpstr>
      <vt:lpstr>Short Form</vt:lpstr>
      <vt:lpstr>Approval Limits </vt:lpstr>
      <vt:lpstr>Application Flow Chart</vt:lpstr>
      <vt:lpstr>Approval Limits R.E</vt:lpstr>
      <vt:lpstr> Policy Exceptions</vt:lpstr>
      <vt:lpstr>Loan Terms</vt:lpstr>
      <vt:lpstr>Loan LTV Limits</vt:lpstr>
      <vt:lpstr>Loan Department Positions</vt:lpstr>
      <vt:lpstr>Data - do not edit</vt:lpstr>
      <vt:lpstr>Mitigating Factors</vt:lpstr>
      <vt:lpstr>Additional Income Page</vt:lpstr>
      <vt:lpstr>APP_CODE</vt:lpstr>
      <vt:lpstr>APPCODE</vt:lpstr>
      <vt:lpstr>approval</vt:lpstr>
      <vt:lpstr>bi</vt:lpstr>
      <vt:lpstr>BK</vt:lpstr>
      <vt:lpstr>Branch</vt:lpstr>
      <vt:lpstr>Call</vt:lpstr>
      <vt:lpstr>Call_mortgage</vt:lpstr>
      <vt:lpstr>Callmtg</vt:lpstr>
      <vt:lpstr>Callother</vt:lpstr>
      <vt:lpstr>Collat</vt:lpstr>
      <vt:lpstr>Collat_mortgage</vt:lpstr>
      <vt:lpstr>collatmtg</vt:lpstr>
      <vt:lpstr>Date</vt:lpstr>
      <vt:lpstr>debts</vt:lpstr>
      <vt:lpstr>denial</vt:lpstr>
      <vt:lpstr>deposit2</vt:lpstr>
      <vt:lpstr>deposits</vt:lpstr>
      <vt:lpstr>exceptionapp</vt:lpstr>
      <vt:lpstr>grade</vt:lpstr>
      <vt:lpstr>housing</vt:lpstr>
      <vt:lpstr>lnhist</vt:lpstr>
      <vt:lpstr>lo</vt:lpstr>
      <vt:lpstr>loans</vt:lpstr>
      <vt:lpstr>'Loan Terms'!ltv</vt:lpstr>
      <vt:lpstr>ltvmtg</vt:lpstr>
      <vt:lpstr>ltvx</vt:lpstr>
      <vt:lpstr>marital</vt:lpstr>
      <vt:lpstr>married</vt:lpstr>
      <vt:lpstr>method</vt:lpstr>
      <vt:lpstr>'Master Checklist'!Mitigating_Factors</vt:lpstr>
      <vt:lpstr>monthly</vt:lpstr>
      <vt:lpstr>New</vt:lpstr>
      <vt:lpstr>Officer</vt:lpstr>
      <vt:lpstr>other_exc</vt:lpstr>
      <vt:lpstr>otherx</vt:lpstr>
      <vt:lpstr>othincome</vt:lpstr>
      <vt:lpstr>'Loan Terms'!Print_Area</vt:lpstr>
      <vt:lpstr>'Master Checklist'!Print_Area</vt:lpstr>
      <vt:lpstr>Purpose</vt:lpstr>
      <vt:lpstr>Purposemtg</vt:lpstr>
      <vt:lpstr>Purpother</vt:lpstr>
      <vt:lpstr>rate</vt:lpstr>
      <vt:lpstr>Ratex</vt:lpstr>
      <vt:lpstr>Relation</vt:lpstr>
      <vt:lpstr>semi</vt:lpstr>
      <vt:lpstr>sex</vt:lpstr>
      <vt:lpstr>source</vt:lpstr>
      <vt:lpstr>Termx</vt:lpstr>
      <vt:lpstr>Under</vt:lpstr>
      <vt:lpstr>weekly</vt:lpstr>
      <vt:lpstr>yes</vt:lpstr>
      <vt:lpstr>Zip</vt:lpstr>
    </vt:vector>
  </TitlesOfParts>
  <Manager/>
  <Company>Farmers State Bank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April L. Smekens;wrood@myhhsb.com</dc:creator>
  <cp:keywords/>
  <dc:description/>
  <cp:lastModifiedBy>Will H. Rood</cp:lastModifiedBy>
  <cp:revision/>
  <cp:lastPrinted>2019-08-20T15:38:58Z</cp:lastPrinted>
  <dcterms:created xsi:type="dcterms:W3CDTF">2008-08-15T12:45:28Z</dcterms:created>
  <dcterms:modified xsi:type="dcterms:W3CDTF">2019-10-31T04:27:47Z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0x010100CDD26E30865D804A8409302BB6805E64</vt:lpwstr>
  </property>
  <property fmtid="{D5CDD505-2E9C-101B-9397-08002B2CF9AE}" pid="3" name="AuthorIds_UIVersion_1024">
    <vt:lpwstr>12</vt:lpwstr>
  </property>
</Properties>
</file>